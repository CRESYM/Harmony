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9B71204E-1990-4EBD-ABBD-AC7BFABB4CF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LC" sheetId="7" r:id="rId1"/>
    <sheet name="SRC" sheetId="8" r:id="rId2"/>
    <sheet name="OUT" sheetId="10" r:id="rId3"/>
    <sheet name="SW" sheetId="9" r:id="rId4"/>
    <sheet name="Sheet2" sheetId="12" r:id="rId5"/>
  </sheets>
  <definedNames>
    <definedName name="_xlnm._FilterDatabase" localSheetId="0" hidden="1">RLC!$A$1:$H$1</definedName>
    <definedName name="_xlnm._FilterDatabase" localSheetId="1" hidden="1">SRC!$A$1:$F$9</definedName>
    <definedName name="NODES">RLC!$A$2:$B$85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8" l="1"/>
  <c r="E7" i="8"/>
  <c r="E4" i="8"/>
  <c r="I122" i="7"/>
  <c r="I123" i="7"/>
  <c r="I124" i="7"/>
  <c r="D10" i="10"/>
  <c r="D9" i="10"/>
  <c r="D8" i="10"/>
  <c r="D7" i="10"/>
  <c r="D6" i="10"/>
  <c r="D5" i="10"/>
  <c r="I120" i="7"/>
  <c r="I113" i="7"/>
  <c r="I109" i="7"/>
  <c r="I108" i="7"/>
  <c r="I107" i="7"/>
  <c r="I97" i="7"/>
  <c r="I93" i="7"/>
  <c r="I92" i="7"/>
  <c r="I91" i="7"/>
  <c r="I81" i="7"/>
  <c r="I77" i="7"/>
  <c r="I76" i="7"/>
  <c r="I75" i="7"/>
  <c r="I65" i="7"/>
  <c r="I61" i="7"/>
  <c r="I60" i="7"/>
  <c r="I59" i="7"/>
  <c r="I49" i="7"/>
  <c r="I45" i="7"/>
  <c r="I44" i="7"/>
  <c r="I43" i="7"/>
  <c r="I33" i="7"/>
  <c r="I29" i="7"/>
  <c r="I28" i="7"/>
  <c r="I27" i="7"/>
  <c r="I18" i="7"/>
  <c r="I17" i="7"/>
  <c r="I15" i="7"/>
  <c r="I14" i="7"/>
  <c r="I13" i="7"/>
  <c r="I12" i="7"/>
  <c r="I11" i="7"/>
  <c r="I10" i="7"/>
  <c r="I3" i="7"/>
  <c r="I4" i="7"/>
  <c r="I5" i="7"/>
  <c r="I6" i="7"/>
  <c r="I7" i="7"/>
  <c r="I8" i="7"/>
  <c r="I9" i="7"/>
  <c r="I16" i="7"/>
  <c r="I19" i="7"/>
  <c r="I20" i="7"/>
  <c r="I21" i="7"/>
  <c r="I22" i="7"/>
  <c r="I23" i="7"/>
  <c r="I24" i="7"/>
  <c r="I25" i="7"/>
  <c r="I26" i="7"/>
  <c r="I30" i="7"/>
  <c r="I31" i="7"/>
  <c r="I32" i="7"/>
  <c r="I34" i="7"/>
  <c r="I35" i="7"/>
  <c r="I36" i="7"/>
  <c r="I37" i="7"/>
  <c r="I38" i="7"/>
  <c r="I39" i="7"/>
  <c r="I40" i="7"/>
  <c r="I41" i="7"/>
  <c r="I42" i="7"/>
  <c r="I46" i="7"/>
  <c r="I47" i="7"/>
  <c r="I48" i="7"/>
  <c r="I50" i="7"/>
  <c r="I51" i="7"/>
  <c r="I52" i="7"/>
  <c r="I53" i="7"/>
  <c r="I54" i="7"/>
  <c r="I55" i="7"/>
  <c r="I56" i="7"/>
  <c r="I57" i="7"/>
  <c r="I58" i="7"/>
  <c r="I62" i="7"/>
  <c r="I63" i="7"/>
  <c r="I64" i="7"/>
  <c r="I66" i="7"/>
  <c r="I67" i="7"/>
  <c r="I68" i="7"/>
  <c r="I69" i="7"/>
  <c r="I70" i="7"/>
  <c r="I71" i="7"/>
  <c r="I72" i="7"/>
  <c r="I73" i="7"/>
  <c r="I74" i="7"/>
  <c r="I78" i="7"/>
  <c r="I79" i="7"/>
  <c r="I80" i="7"/>
  <c r="I82" i="7"/>
  <c r="I83" i="7"/>
  <c r="I84" i="7"/>
  <c r="I85" i="7"/>
  <c r="I86" i="7"/>
  <c r="I87" i="7"/>
  <c r="I88" i="7"/>
  <c r="I89" i="7"/>
  <c r="I90" i="7"/>
  <c r="I94" i="7"/>
  <c r="I95" i="7"/>
  <c r="I96" i="7"/>
  <c r="I98" i="7"/>
  <c r="I99" i="7"/>
  <c r="I100" i="7"/>
  <c r="I101" i="7"/>
  <c r="I102" i="7"/>
  <c r="I103" i="7"/>
  <c r="I104" i="7"/>
  <c r="I105" i="7"/>
  <c r="I106" i="7"/>
  <c r="I110" i="7"/>
  <c r="I111" i="7"/>
  <c r="I112" i="7"/>
  <c r="I114" i="7"/>
  <c r="I115" i="7"/>
  <c r="I116" i="7"/>
  <c r="I117" i="7"/>
  <c r="I118" i="7"/>
  <c r="I119" i="7"/>
  <c r="I121" i="7"/>
  <c r="I2" i="7"/>
  <c r="D4" i="10"/>
  <c r="D2" i="10"/>
  <c r="D3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H6" i="10"/>
  <c r="H7" i="10"/>
  <c r="H8" i="10"/>
  <c r="H9" i="10"/>
  <c r="H10" i="10"/>
  <c r="H32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D25" i="10"/>
  <c r="D26" i="10"/>
</calcChain>
</file>

<file path=xl/sharedStrings.xml><?xml version="1.0" encoding="utf-8"?>
<sst xmlns="http://schemas.openxmlformats.org/spreadsheetml/2006/main" count="411" uniqueCount="150">
  <si>
    <t>type</t>
  </si>
  <si>
    <t>N2</t>
  </si>
  <si>
    <t>R</t>
  </si>
  <si>
    <t>C(uF)/U(V)</t>
  </si>
  <si>
    <t>N1</t>
  </si>
  <si>
    <t>Nobr</t>
  </si>
  <si>
    <t>Node1</t>
  </si>
  <si>
    <t>Node2</t>
  </si>
  <si>
    <t>U/I</t>
  </si>
  <si>
    <t>phase</t>
  </si>
  <si>
    <t>freq</t>
  </si>
  <si>
    <t>status</t>
  </si>
  <si>
    <t>L/Xl</t>
  </si>
  <si>
    <t>no_I</t>
  </si>
  <si>
    <t>no_U</t>
  </si>
  <si>
    <t>Type</t>
  </si>
  <si>
    <t>U</t>
  </si>
  <si>
    <t>Branch</t>
  </si>
  <si>
    <t>TXT</t>
  </si>
  <si>
    <t>L (mH)</t>
  </si>
  <si>
    <t>S</t>
  </si>
  <si>
    <t>Tr</t>
  </si>
  <si>
    <t>P</t>
  </si>
  <si>
    <t>Desc</t>
  </si>
  <si>
    <t>Mut</t>
  </si>
  <si>
    <t>phase_A: LD_5_125MW_50MVAr</t>
  </si>
  <si>
    <t>phase_B: LD_5_125MW_50MVAr</t>
  </si>
  <si>
    <t>phase_C: LD_5_125MW_50MVAr</t>
  </si>
  <si>
    <t>phase_A: LD_6_50MW</t>
  </si>
  <si>
    <t>phase_B: LD_6_50MW</t>
  </si>
  <si>
    <t>phase_C: LD_6_50MW</t>
  </si>
  <si>
    <t>phase_A: LD_6_90MW_30MVAr</t>
  </si>
  <si>
    <t>phase_B: LD_6_90MW_30MVAr</t>
  </si>
  <si>
    <t>phase_C: LD_6_90MW_30MVAr</t>
  </si>
  <si>
    <t>phase_A: LD_8_100MW_35MVAr</t>
  </si>
  <si>
    <t>phase_B: LD_8_100MW_35MVAr</t>
  </si>
  <si>
    <t>phase_C: LD_8_100MW_35MVAr</t>
  </si>
  <si>
    <t>phase_A: LD_1</t>
  </si>
  <si>
    <t>phase_B: LD_1</t>
  </si>
  <si>
    <t>phase_C: LD_1</t>
  </si>
  <si>
    <t>phase_A: LD_2</t>
  </si>
  <si>
    <t>phase_B: LD_2</t>
  </si>
  <si>
    <t>phase_C: LD_2</t>
  </si>
  <si>
    <t>phase_A: LD_3</t>
  </si>
  <si>
    <t>phase_B: LD_3</t>
  </si>
  <si>
    <t>phase_C: LD_3</t>
  </si>
  <si>
    <t>phase_A: Line_4_5</t>
  </si>
  <si>
    <t>phase_B: Line_4_5</t>
  </si>
  <si>
    <t>phase_C: Line_4_5</t>
  </si>
  <si>
    <t>mutual: Line_4_5</t>
  </si>
  <si>
    <t>Cp_in_A: Line_4_5</t>
  </si>
  <si>
    <t>Cp_in_B: Line_4_5</t>
  </si>
  <si>
    <t>Cp_in_C: Line_4_5</t>
  </si>
  <si>
    <t>Cgnd_in: Line_4_5</t>
  </si>
  <si>
    <t>Cp_out_A: Line_4_5</t>
  </si>
  <si>
    <t>Cp_out_B: Line_4_5</t>
  </si>
  <si>
    <t>Cp_out_C: Line_4_5</t>
  </si>
  <si>
    <t>Cgnd_out: Line_4_5</t>
  </si>
  <si>
    <t>phase_A: Line_4_6</t>
  </si>
  <si>
    <t>phase_B: Line_4_6</t>
  </si>
  <si>
    <t>phase_C: Line_4_6</t>
  </si>
  <si>
    <t>mutual: Line_4_6</t>
  </si>
  <si>
    <t>Cp_in_A: Line_4_6</t>
  </si>
  <si>
    <t>Cp_in_B: Line_4_6</t>
  </si>
  <si>
    <t>Cp_in_C: Line_4_6</t>
  </si>
  <si>
    <t>Cgnd_in: Line_4_6</t>
  </si>
  <si>
    <t>Cp_out_A: Line_4_6</t>
  </si>
  <si>
    <t>Cp_out_B: Line_4_6</t>
  </si>
  <si>
    <t>Cp_out_C: Line_4_6</t>
  </si>
  <si>
    <t>Cgnd_out: Line_4_6</t>
  </si>
  <si>
    <t>phase_A: Line_5_7</t>
  </si>
  <si>
    <t>phase_B: Line_5_7</t>
  </si>
  <si>
    <t>phase_C: Line_5_7</t>
  </si>
  <si>
    <t>mutual: Line_5_7</t>
  </si>
  <si>
    <t>Cp_in_A: Line_5_7</t>
  </si>
  <si>
    <t>Cp_in_B: Line_5_7</t>
  </si>
  <si>
    <t>Cp_in_C: Line_5_7</t>
  </si>
  <si>
    <t>Cgnd_in: Line_5_7</t>
  </si>
  <si>
    <t>Cp_out_A: Line_5_7</t>
  </si>
  <si>
    <t>Cp_out_B: Line_5_7</t>
  </si>
  <si>
    <t>Cp_out_C: Line_5_7</t>
  </si>
  <si>
    <t>Cgnd_out: Line_5_7</t>
  </si>
  <si>
    <t>phase_A: Line_6_9</t>
  </si>
  <si>
    <t>phase_B: Line_6_9</t>
  </si>
  <si>
    <t>phase_C: Line_6_9</t>
  </si>
  <si>
    <t>mutual: Line_6_9</t>
  </si>
  <si>
    <t>Cp_in_A: Line_6_9</t>
  </si>
  <si>
    <t>Cp_in_B: Line_6_9</t>
  </si>
  <si>
    <t>Cp_in_C: Line_6_9</t>
  </si>
  <si>
    <t>Cgnd_in: Line_6_9</t>
  </si>
  <si>
    <t>Cp_out_A: Line_6_9</t>
  </si>
  <si>
    <t>Cp_out_B: Line_6_9</t>
  </si>
  <si>
    <t>Cp_out_C: Line_6_9</t>
  </si>
  <si>
    <t>Cgnd_out: Line_6_9</t>
  </si>
  <si>
    <t>phase_A: Line_7_8</t>
  </si>
  <si>
    <t>phase_B: Line_7_8</t>
  </si>
  <si>
    <t>phase_C: Line_7_8</t>
  </si>
  <si>
    <t>mutual: Line_7_8</t>
  </si>
  <si>
    <t>Cp_in_A: Line_7_8</t>
  </si>
  <si>
    <t>Cp_in_B: Line_7_8</t>
  </si>
  <si>
    <t>Cp_in_C: Line_7_8</t>
  </si>
  <si>
    <t>Cgnd_in: Line_7_8</t>
  </si>
  <si>
    <t>Cp_out_A: Line_7_8</t>
  </si>
  <si>
    <t>Cp_out_B: Line_7_8</t>
  </si>
  <si>
    <t>Cp_out_C: Line_7_8</t>
  </si>
  <si>
    <t>Cgnd_out: Line_7_8</t>
  </si>
  <si>
    <t>phase_A: Line_8_9</t>
  </si>
  <si>
    <t>phase_B: Line_8_9</t>
  </si>
  <si>
    <t>phase_C: Line_8_9</t>
  </si>
  <si>
    <t>mutual: Line_8_9</t>
  </si>
  <si>
    <t>Cp_in_A: Line_8_9</t>
  </si>
  <si>
    <t>Cp_in_B: Line_8_9</t>
  </si>
  <si>
    <t>Cp_in_C: Line_8_9</t>
  </si>
  <si>
    <t>Cgnd_in: Line_8_9</t>
  </si>
  <si>
    <t>Cp_out_A: Line_8_9</t>
  </si>
  <si>
    <t>Cp_out_B: Line_8_9</t>
  </si>
  <si>
    <t>Cp_out_C: Line_8_9</t>
  </si>
  <si>
    <t>Cgnd_out: Line_8_9</t>
  </si>
  <si>
    <t>transfo_1_winding_1: TR_1_4</t>
  </si>
  <si>
    <t>transfo_1_winding_2: TR_1_4</t>
  </si>
  <si>
    <t>transfo_1_Lm: TR_1_4</t>
  </si>
  <si>
    <t>transfo_2_winding_1: TR_1_4</t>
  </si>
  <si>
    <t>transfo_2_winding_2: TR_1_4</t>
  </si>
  <si>
    <t>transfo_2_Lm: TR_1_4</t>
  </si>
  <si>
    <t>transfo_3_winding_1: TR_1_4</t>
  </si>
  <si>
    <t>transfo_3_winding_2: TR_1_4</t>
  </si>
  <si>
    <t>transfo_3_Lm: TR_1_4</t>
  </si>
  <si>
    <t>transfo_1_winding_1: TR_2_7</t>
  </si>
  <si>
    <t>transfo_1_winding_2: TR_2_7</t>
  </si>
  <si>
    <t>transfo_1_Lm: TR_2_7</t>
  </si>
  <si>
    <t>transfo_2_winding_1: TR_2_7</t>
  </si>
  <si>
    <t>transfo_2_winding_2: TR_2_7</t>
  </si>
  <si>
    <t>transfo_2_Lm: TR_2_7</t>
  </si>
  <si>
    <t>transfo_3_winding_1: TR_2_7</t>
  </si>
  <si>
    <t>transfo_3_winding_2: TR_2_7</t>
  </si>
  <si>
    <t>transfo_3_Lm: TR_2_7</t>
  </si>
  <si>
    <t>transfo_1_winding_1: TR_3_9</t>
  </si>
  <si>
    <t>transfo_1_winding_2: TR_3_9</t>
  </si>
  <si>
    <t>transfo_1_Lm: TR_3_9</t>
  </si>
  <si>
    <t>transfo_2_winding_1: TR_3_9</t>
  </si>
  <si>
    <t>transfo_2_winding_2: TR_3_9</t>
  </si>
  <si>
    <t>transfo_2_Lm: TR_3_9</t>
  </si>
  <si>
    <t>transfo_3_winding_1: TR_3_9</t>
  </si>
  <si>
    <t>transfo_3_winding_2: TR_3_9</t>
  </si>
  <si>
    <t>transfo_3_Lm: TR_3_9</t>
  </si>
  <si>
    <t>Comment U</t>
  </si>
  <si>
    <t>Comment I</t>
  </si>
  <si>
    <t>phase_A: LD_31</t>
  </si>
  <si>
    <t>phase_B: LD_31</t>
  </si>
  <si>
    <t>phase_C: LD_31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</si>
</sst>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04040"/>
      <name val="Consolas"/>
      <family val="3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3" fillId="2" borderId="1" xfId="1" applyFont="1" applyAlignment="1">
      <alignment horizontal="center"/>
    </xf>
    <xf numFmtId="0" fontId="6" fillId="0" borderId="0" xfId="0" applyFont="1" applyAlignment="1">
      <alignment horizontal="left" vertical="center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2" borderId="8" xfId="1" applyFont="1" applyBorder="1" applyAlignment="1">
      <alignment horizontal="center"/>
    </xf>
    <xf numFmtId="0" fontId="3" fillId="2" borderId="9" xfId="1" applyFont="1" applyBorder="1" applyAlignment="1">
      <alignment horizontal="center"/>
    </xf>
    <xf numFmtId="0" fontId="3" fillId="2" borderId="10" xfId="1" applyFont="1" applyBorder="1" applyAlignment="1">
      <alignment horizontal="center"/>
    </xf>
    <xf numFmtId="0" fontId="0" fillId="3" borderId="2" xfId="2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0" xfId="0" applyNumberFormat="1"/>
    <xf numFmtId="11" fontId="0" fillId="0" borderId="0" xfId="0" applyNumberFormat="1"/>
    <xf numFmtId="2" fontId="0" fillId="0" borderId="0" xfId="0" applyNumberFormat="1" applyAlignment="1">
      <alignment horizontal="center" vertical="center"/>
    </xf>
    <xf numFmtId="0" fontId="3" fillId="2" borderId="8" xfId="1" applyFont="1" applyBorder="1" applyAlignment="1">
      <alignment horizontal="center" vertical="center"/>
    </xf>
    <xf numFmtId="0" fontId="3" fillId="2" borderId="9" xfId="1" applyFont="1" applyBorder="1" applyAlignment="1">
      <alignment horizontal="center" vertical="center"/>
    </xf>
    <xf numFmtId="0" fontId="3" fillId="2" borderId="10" xfId="1" applyFon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7" borderId="0" xfId="0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4" borderId="16" xfId="3" applyFont="1" applyBorder="1" applyAlignment="1">
      <alignment horizontal="center"/>
    </xf>
    <xf numFmtId="0" fontId="7" fillId="4" borderId="17" xfId="3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5" borderId="17" xfId="4" applyBorder="1" applyAlignment="1">
      <alignment horizontal="center"/>
    </xf>
    <xf numFmtId="0" fontId="1" fillId="5" borderId="0" xfId="4" applyBorder="1" applyAlignment="1">
      <alignment horizontal="center"/>
    </xf>
    <xf numFmtId="0" fontId="1" fillId="5" borderId="0" xfId="4" applyBorder="1"/>
    <xf numFmtId="0" fontId="1" fillId="5" borderId="14" xfId="4" applyBorder="1"/>
    <xf numFmtId="0" fontId="1" fillId="6" borderId="11" xfId="5" applyBorder="1" applyAlignment="1">
      <alignment horizontal="center"/>
    </xf>
    <xf numFmtId="0" fontId="1" fillId="6" borderId="0" xfId="5" applyBorder="1" applyAlignment="1">
      <alignment horizontal="center"/>
    </xf>
    <xf numFmtId="0" fontId="1" fillId="6" borderId="11" xfId="5" applyBorder="1" applyAlignment="1">
      <alignment horizontal="center" vertical="center"/>
    </xf>
    <xf numFmtId="0" fontId="1" fillId="6" borderId="0" xfId="5" applyBorder="1" applyAlignment="1">
      <alignment horizontal="center" vertical="center"/>
    </xf>
    <xf numFmtId="0" fontId="1" fillId="6" borderId="11" xfId="5" applyBorder="1"/>
    <xf numFmtId="0" fontId="1" fillId="6" borderId="0" xfId="5" applyBorder="1"/>
    <xf numFmtId="0" fontId="0" fillId="3" borderId="17" xfId="2" applyFont="1" applyBorder="1" applyAlignment="1">
      <alignment horizontal="center"/>
    </xf>
    <xf numFmtId="0" fontId="0" fillId="3" borderId="18" xfId="2" applyFont="1" applyBorder="1" applyAlignment="1">
      <alignment horizontal="center"/>
    </xf>
  </cellXfs>
  <cellStyles count="6">
    <cellStyle name="20% - Accent1" xfId="4" builtinId="30"/>
    <cellStyle name="20% - Accent2" xfId="5" builtinId="34"/>
    <cellStyle name="Accent2" xfId="3" builtinId="33"/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183736</xdr:colOff>
      <xdr:row>2</xdr:row>
      <xdr:rowOff>3451</xdr:rowOff>
    </xdr:from>
    <xdr:ext cx="8772525" cy="334681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8ECB27-D1CE-6BAA-EBB2-231B70C0ACD0}"/>
            </a:ext>
          </a:extLst>
        </xdr:cNvPr>
        <xdr:cNvSpPr txBox="1"/>
      </xdr:nvSpPr>
      <xdr:spPr>
        <a:xfrm>
          <a:off x="7996997" y="367886"/>
          <a:ext cx="8772525" cy="33468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C, Nobr] for RLC branch or line branch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C, Nobr] for transformer magnetizing branch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U, Nobr] for transformer winding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U, Nobr] for mutual inductances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node1: First node number of the branch. The node number must be positive or zero. Decimal node numbers are allowed.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node2: Second node number of the branch. The node number must be positive or zero. Decimal node numbers are allowed.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type: Integer indicating the type of connection of RLC elements, or, if negative, the transmission line length: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0: Series RLC element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1: Parallel RLC element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2: Transformer winding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3: Coupled (mutual) winding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If type is negative, the transmission line is modeled by a PI section of length |type|. See details below.</a:t>
          </a:r>
        </a:p>
        <a:p>
          <a:pPr lvl="1" algn="l">
            <a:buFont typeface="Arial" panose="020B0604020202020204" pitchFamily="34" charset="0"/>
            <a:buChar char="•"/>
          </a:pPr>
          <a:endParaRPr lang="de-DE" b="0" i="0">
            <a:solidFill>
              <a:srgbClr val="404040"/>
            </a:solidFill>
            <a:effectLst/>
            <a:latin typeface="Arial" panose="020B0604020202020204" pitchFamily="34" charset="0"/>
          </a:endParaRP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For a mutual inductor or a transformer having N windings, N+1 consecutive lines must be specified in RLC matrix:</a:t>
          </a:r>
        </a:p>
        <a:p>
          <a:pPr lvl="1" algn="l">
            <a:buFont typeface="+mj-lt"/>
            <a:buAutoNum type="arabicPeriod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 lines with type = 2 or type = 3; (one line per winding). Each line specifies R/L/U or R/Xl/Xc where [R/L, R/Xl = winding resistance and leakage reactance for a transformers or winding resistance and self reactance for mutually coupled windings. U is the nominal voltage of transformer winding (specify 0 if type = 3).</a:t>
          </a:r>
        </a:p>
        <a:p>
          <a:pPr lvl="1" algn="l">
            <a:buFont typeface="+mj-lt"/>
            <a:buAutoNum type="arabicPeriod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One extra line with type = 1 for the magnetizing branch of a transformer (parallel Rm/Lm or Rm/Xm) or one line with type = 0 for a mutual impedance (series Rm/Lm or Rm/Xm).</a:t>
          </a:r>
        </a:p>
        <a:p>
          <a:endParaRPr lang="en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504825</xdr:colOff>
      <xdr:row>2</xdr:row>
      <xdr:rowOff>123825</xdr:rowOff>
    </xdr:from>
    <xdr:ext cx="8772525" cy="301236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C27579-FE7A-48F3-A9D6-36D5336F2FD6}"/>
            </a:ext>
          </a:extLst>
        </xdr:cNvPr>
        <xdr:cNvSpPr txBox="1"/>
      </xdr:nvSpPr>
      <xdr:spPr>
        <a:xfrm>
          <a:off x="5991225" y="504825"/>
          <a:ext cx="8772525" cy="301236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Three formats are allowed: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Five columns: All sources are generating the same frequency specified by freq_sys.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Six columns: The frequency of each source is specified in column 6.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Seven columns: The seventh column is used to specify the type of nonlinear element modeled by the current source.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Each line of the source matrix must be specified according to the following format:</a:t>
          </a:r>
        </a:p>
        <a:p>
          <a:pPr lvl="1"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 node1, node2, type, amp, phase, freq, model ] </a:t>
          </a:r>
        </a:p>
        <a:p>
          <a:pPr lvl="1" algn="l"/>
          <a:endParaRPr lang="de-DE" b="0" i="0">
            <a:solidFill>
              <a:srgbClr val="404040"/>
            </a:solidFill>
            <a:effectLst/>
            <a:latin typeface="Arial" panose="020B0604020202020204" pitchFamily="34" charset="0"/>
          </a:endParaRP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node1, node2: Node numbers corresponding to the source terminals. These are the polarity conventions: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Voltage source: node1 is the positive terminal.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Current source: Positive current flowing from node1 to node2 inside the source.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Integer indicating the type of source: 0 for voltage source, 1 for current source.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amp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Amplitude of the AC or DC voltage or current (V or A).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phase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 Phase of the AC voltage or current (degree).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freq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 Frequency (Hz) of the generated voltage or current. Default value is 60 Hz. For a DC voltage or current source, specify phase = 0 and freq = 0. amp can be set to a negative value. The generated signals are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amp * sin(2</a:t>
          </a:r>
          <a:r>
            <a:rPr lang="el-GR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π*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freq*t + phase)for AC, amp for DC.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model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Integer specifying the type of nonlinear element modeled by the current source (saturable inductance, thyristor, switch,...). Used by power_analyze only.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247650</xdr:colOff>
      <xdr:row>2</xdr:row>
      <xdr:rowOff>120650</xdr:rowOff>
    </xdr:from>
    <xdr:to>
      <xdr:col>25</xdr:col>
      <xdr:colOff>180069</xdr:colOff>
      <xdr:row>26</xdr:row>
      <xdr:rowOff>62936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2745C-B186-7918-6A84-E0B95FC67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4600" y="488950"/>
          <a:ext cx="7247619" cy="4361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C108-7087-49D1-BC33-943B282609DD}">
  <dimension ref="A1:I124"/>
  <sheetViews>
    <sheetView tabSelected="1" zoomScale="115" zoomScaleNormal="115" workbookViewId="0">
      <selection activeCell="O30" sqref="O30"/>
    </sheetView>
  </sheetViews>
  <sheetFormatPr defaultRowHeight="14.5" x14ac:dyDescent="0.35"/>
  <cols>
    <col min="1" max="5" width="9.1796875" style="15"/>
    <col min="6" max="6" width="12.26953125" style="15" customWidth="1"/>
    <col min="7" max="7" width="9.1796875" style="15"/>
    <col min="8" max="8" width="31.08984375" style="1" customWidth="1"/>
    <col min="9" max="9" width="23.90625" style="27" customWidth="1"/>
  </cols>
  <sheetData>
    <row r="1" spans="1:9" x14ac:dyDescent="0.35">
      <c r="A1" s="20" t="s">
        <v>4</v>
      </c>
      <c r="B1" s="21" t="s">
        <v>1</v>
      </c>
      <c r="C1" s="21" t="s">
        <v>0</v>
      </c>
      <c r="D1" s="21" t="s">
        <v>2</v>
      </c>
      <c r="E1" s="21" t="s">
        <v>19</v>
      </c>
      <c r="F1" s="21" t="s">
        <v>3</v>
      </c>
      <c r="G1" s="22" t="s">
        <v>5</v>
      </c>
      <c r="H1" s="12" t="s">
        <v>23</v>
      </c>
    </row>
    <row r="2" spans="1:9" x14ac:dyDescent="0.35">
      <c r="A2" s="15">
        <v>22</v>
      </c>
      <c r="B2" s="15">
        <v>0</v>
      </c>
      <c r="C2" s="15">
        <v>1</v>
      </c>
      <c r="D2" s="19">
        <v>136.1</v>
      </c>
      <c r="E2" s="15">
        <v>0</v>
      </c>
      <c r="F2" s="19">
        <v>19.489999999999998</v>
      </c>
      <c r="G2" s="15">
        <v>1</v>
      </c>
      <c r="H2" t="s">
        <v>37</v>
      </c>
      <c r="I2" s="27">
        <f>IF(C2="S",0,IF(C2="P",1,IF(C2="Mut",3,IF(C2="Tr",2,-1))))</f>
        <v>-1</v>
      </c>
    </row>
    <row r="3" spans="1:9" x14ac:dyDescent="0.35">
      <c r="A3" s="15">
        <v>23</v>
      </c>
      <c r="B3" s="15">
        <v>0</v>
      </c>
      <c r="C3" s="15">
        <v>1</v>
      </c>
      <c r="D3" s="19">
        <v>136.1</v>
      </c>
      <c r="E3" s="15">
        <v>0</v>
      </c>
      <c r="F3" s="19">
        <v>19.489999999999998</v>
      </c>
      <c r="G3" s="15">
        <v>2</v>
      </c>
      <c r="H3" t="s">
        <v>38</v>
      </c>
      <c r="I3" s="27">
        <f t="shared" ref="I3:I66" si="0">IF(C3="S",0,IF(C3="P",1,IF(C3="Mut",3,IF(C3="Tr",2,-1))))</f>
        <v>-1</v>
      </c>
    </row>
    <row r="4" spans="1:9" x14ac:dyDescent="0.35">
      <c r="A4" s="15">
        <v>24</v>
      </c>
      <c r="B4" s="15">
        <v>0</v>
      </c>
      <c r="C4" s="15">
        <v>1</v>
      </c>
      <c r="D4" s="19">
        <v>136.1</v>
      </c>
      <c r="E4" s="15">
        <v>0</v>
      </c>
      <c r="F4" s="19">
        <v>19.489999999999998</v>
      </c>
      <c r="G4" s="15">
        <v>3</v>
      </c>
      <c r="H4" t="s">
        <v>39</v>
      </c>
      <c r="I4" s="27">
        <f t="shared" si="0"/>
        <v>-1</v>
      </c>
    </row>
    <row r="5" spans="1:9" x14ac:dyDescent="0.35">
      <c r="A5" s="15">
        <v>28</v>
      </c>
      <c r="B5" s="15">
        <v>0</v>
      </c>
      <c r="C5" s="15">
        <v>1</v>
      </c>
      <c r="D5" s="19">
        <v>162</v>
      </c>
      <c r="E5" s="15">
        <v>0</v>
      </c>
      <c r="F5" s="19">
        <v>16.37</v>
      </c>
      <c r="G5" s="15">
        <v>4</v>
      </c>
      <c r="H5" t="s">
        <v>40</v>
      </c>
      <c r="I5" s="27">
        <f t="shared" si="0"/>
        <v>-1</v>
      </c>
    </row>
    <row r="6" spans="1:9" x14ac:dyDescent="0.35">
      <c r="A6" s="15">
        <v>29</v>
      </c>
      <c r="B6" s="15">
        <v>0</v>
      </c>
      <c r="C6" s="15">
        <v>1</v>
      </c>
      <c r="D6" s="19">
        <v>162</v>
      </c>
      <c r="E6" s="15">
        <v>0</v>
      </c>
      <c r="F6" s="19">
        <v>16.37</v>
      </c>
      <c r="G6" s="15">
        <v>5</v>
      </c>
      <c r="H6" t="s">
        <v>41</v>
      </c>
      <c r="I6" s="27">
        <f t="shared" si="0"/>
        <v>-1</v>
      </c>
    </row>
    <row r="7" spans="1:9" x14ac:dyDescent="0.35">
      <c r="A7" s="15">
        <v>30</v>
      </c>
      <c r="B7" s="15">
        <v>0</v>
      </c>
      <c r="C7" s="15">
        <v>1</v>
      </c>
      <c r="D7" s="19">
        <v>162</v>
      </c>
      <c r="E7" s="15">
        <v>0</v>
      </c>
      <c r="F7" s="19">
        <v>16.37</v>
      </c>
      <c r="G7" s="15">
        <v>6</v>
      </c>
      <c r="H7" t="s">
        <v>42</v>
      </c>
      <c r="I7" s="27">
        <f t="shared" si="0"/>
        <v>-1</v>
      </c>
    </row>
    <row r="8" spans="1:9" x14ac:dyDescent="0.35">
      <c r="A8" s="15">
        <v>34</v>
      </c>
      <c r="B8" s="15">
        <v>0</v>
      </c>
      <c r="C8" s="15">
        <v>1</v>
      </c>
      <c r="D8" s="19">
        <v>136.1</v>
      </c>
      <c r="E8" s="15">
        <v>0</v>
      </c>
      <c r="F8" s="19">
        <v>19.489999999999998</v>
      </c>
      <c r="G8" s="15">
        <v>7</v>
      </c>
      <c r="H8" t="s">
        <v>43</v>
      </c>
      <c r="I8" s="27">
        <f t="shared" si="0"/>
        <v>-1</v>
      </c>
    </row>
    <row r="9" spans="1:9" x14ac:dyDescent="0.35">
      <c r="A9" s="15">
        <v>35</v>
      </c>
      <c r="B9" s="15">
        <v>0</v>
      </c>
      <c r="C9" s="15">
        <v>1</v>
      </c>
      <c r="D9" s="19">
        <v>136.1</v>
      </c>
      <c r="E9" s="15">
        <v>0</v>
      </c>
      <c r="F9" s="19">
        <v>19.489999999999998</v>
      </c>
      <c r="G9" s="15">
        <v>8</v>
      </c>
      <c r="H9" t="s">
        <v>44</v>
      </c>
      <c r="I9" s="27">
        <f t="shared" si="0"/>
        <v>-1</v>
      </c>
    </row>
    <row r="10" spans="1:9" x14ac:dyDescent="0.35">
      <c r="A10" s="15">
        <v>36</v>
      </c>
      <c r="B10" s="15">
        <v>0</v>
      </c>
      <c r="C10" s="15">
        <v>1</v>
      </c>
      <c r="D10" s="19">
        <v>136.1</v>
      </c>
      <c r="E10" s="15">
        <v>0</v>
      </c>
      <c r="F10" s="19">
        <v>19.489999999999998</v>
      </c>
      <c r="G10" s="15">
        <v>9</v>
      </c>
      <c r="H10" t="s">
        <v>45</v>
      </c>
      <c r="I10" s="27">
        <f t="shared" si="0"/>
        <v>-1</v>
      </c>
    </row>
    <row r="11" spans="1:9" x14ac:dyDescent="0.35">
      <c r="A11" s="15">
        <v>5</v>
      </c>
      <c r="B11" s="15">
        <v>0</v>
      </c>
      <c r="C11" s="15">
        <v>0</v>
      </c>
      <c r="D11" s="19">
        <v>297.89999999999998</v>
      </c>
      <c r="E11" s="15">
        <v>316</v>
      </c>
      <c r="F11" s="19">
        <v>0</v>
      </c>
      <c r="G11" s="15">
        <v>10</v>
      </c>
      <c r="H11" t="s">
        <v>25</v>
      </c>
      <c r="I11" s="27">
        <f t="shared" si="0"/>
        <v>-1</v>
      </c>
    </row>
    <row r="12" spans="1:9" x14ac:dyDescent="0.35">
      <c r="A12" s="15">
        <v>2</v>
      </c>
      <c r="B12" s="15">
        <v>0</v>
      </c>
      <c r="C12" s="15">
        <v>0</v>
      </c>
      <c r="D12" s="19">
        <v>297.89999999999998</v>
      </c>
      <c r="E12" s="15">
        <v>316</v>
      </c>
      <c r="F12" s="19">
        <v>0</v>
      </c>
      <c r="G12" s="15">
        <v>11</v>
      </c>
      <c r="H12" t="s">
        <v>26</v>
      </c>
      <c r="I12" s="27">
        <f t="shared" si="0"/>
        <v>-1</v>
      </c>
    </row>
    <row r="13" spans="1:9" x14ac:dyDescent="0.35">
      <c r="A13" s="15">
        <v>1</v>
      </c>
      <c r="B13" s="15">
        <v>0</v>
      </c>
      <c r="C13" s="15">
        <v>0</v>
      </c>
      <c r="D13" s="19">
        <v>297.89999999999998</v>
      </c>
      <c r="E13" s="15">
        <v>316</v>
      </c>
      <c r="F13" s="19">
        <v>0</v>
      </c>
      <c r="G13" s="15">
        <v>12</v>
      </c>
      <c r="H13" t="s">
        <v>27</v>
      </c>
      <c r="I13" s="27">
        <f t="shared" si="0"/>
        <v>-1</v>
      </c>
    </row>
    <row r="14" spans="1:9" x14ac:dyDescent="0.35">
      <c r="A14" s="28">
        <v>17</v>
      </c>
      <c r="B14" s="15">
        <v>0</v>
      </c>
      <c r="C14" s="15">
        <v>0</v>
      </c>
      <c r="D14" s="19">
        <v>888.1</v>
      </c>
      <c r="E14" s="15">
        <v>0</v>
      </c>
      <c r="F14" s="19">
        <v>0</v>
      </c>
      <c r="G14" s="15">
        <v>13</v>
      </c>
      <c r="H14" s="18" t="s">
        <v>28</v>
      </c>
      <c r="I14" s="27">
        <f t="shared" si="0"/>
        <v>-1</v>
      </c>
    </row>
    <row r="15" spans="1:9" x14ac:dyDescent="0.35">
      <c r="A15" s="28">
        <v>16</v>
      </c>
      <c r="B15" s="15">
        <v>0</v>
      </c>
      <c r="C15" s="15">
        <v>0</v>
      </c>
      <c r="D15" s="19">
        <v>888.1</v>
      </c>
      <c r="E15" s="15">
        <v>0</v>
      </c>
      <c r="F15" s="19">
        <v>0</v>
      </c>
      <c r="G15" s="15">
        <v>14</v>
      </c>
      <c r="H15" s="18" t="s">
        <v>29</v>
      </c>
      <c r="I15" s="27">
        <f t="shared" si="0"/>
        <v>-1</v>
      </c>
    </row>
    <row r="16" spans="1:9" x14ac:dyDescent="0.35">
      <c r="A16" s="28">
        <v>18</v>
      </c>
      <c r="B16" s="15">
        <v>0</v>
      </c>
      <c r="C16" s="15">
        <v>0</v>
      </c>
      <c r="D16" s="19">
        <v>888.1</v>
      </c>
      <c r="E16" s="15">
        <v>0</v>
      </c>
      <c r="F16" s="19">
        <v>0</v>
      </c>
      <c r="G16" s="15">
        <v>15</v>
      </c>
      <c r="H16" t="s">
        <v>30</v>
      </c>
      <c r="I16" s="27">
        <f t="shared" si="0"/>
        <v>-1</v>
      </c>
    </row>
    <row r="17" spans="1:9" x14ac:dyDescent="0.35">
      <c r="A17" s="28">
        <v>17</v>
      </c>
      <c r="B17" s="15">
        <v>0</v>
      </c>
      <c r="C17" s="15">
        <v>0</v>
      </c>
      <c r="D17" s="19">
        <v>444</v>
      </c>
      <c r="E17" s="15">
        <v>392.6</v>
      </c>
      <c r="F17" s="19">
        <v>0</v>
      </c>
      <c r="G17" s="15">
        <v>16</v>
      </c>
      <c r="H17" s="18" t="s">
        <v>31</v>
      </c>
      <c r="I17" s="27">
        <f t="shared" si="0"/>
        <v>-1</v>
      </c>
    </row>
    <row r="18" spans="1:9" x14ac:dyDescent="0.35">
      <c r="A18" s="28">
        <v>16</v>
      </c>
      <c r="B18" s="15">
        <v>0</v>
      </c>
      <c r="C18" s="15">
        <v>0</v>
      </c>
      <c r="D18" s="19">
        <v>444</v>
      </c>
      <c r="E18" s="15">
        <v>392.6</v>
      </c>
      <c r="F18" s="19">
        <v>0</v>
      </c>
      <c r="G18" s="15">
        <v>17</v>
      </c>
      <c r="H18" s="18" t="s">
        <v>32</v>
      </c>
      <c r="I18" s="27">
        <f t="shared" si="0"/>
        <v>-1</v>
      </c>
    </row>
    <row r="19" spans="1:9" x14ac:dyDescent="0.35">
      <c r="A19" s="28">
        <v>18</v>
      </c>
      <c r="B19" s="15">
        <v>0</v>
      </c>
      <c r="C19" s="15">
        <v>0</v>
      </c>
      <c r="D19" s="19">
        <v>444</v>
      </c>
      <c r="E19" s="15">
        <v>392.6</v>
      </c>
      <c r="F19" s="19">
        <v>0</v>
      </c>
      <c r="G19" s="15">
        <v>18</v>
      </c>
      <c r="H19" t="s">
        <v>33</v>
      </c>
      <c r="I19" s="27">
        <f t="shared" si="0"/>
        <v>-1</v>
      </c>
    </row>
    <row r="20" spans="1:9" x14ac:dyDescent="0.35">
      <c r="A20" s="28">
        <v>6</v>
      </c>
      <c r="B20" s="15">
        <v>0</v>
      </c>
      <c r="C20" s="15">
        <v>0</v>
      </c>
      <c r="D20" s="23">
        <v>424.2</v>
      </c>
      <c r="E20" s="15">
        <v>393.8</v>
      </c>
      <c r="F20" s="15">
        <v>0</v>
      </c>
      <c r="G20" s="16">
        <v>19</v>
      </c>
      <c r="H20" s="18" t="s">
        <v>34</v>
      </c>
      <c r="I20" s="27">
        <f t="shared" si="0"/>
        <v>-1</v>
      </c>
    </row>
    <row r="21" spans="1:9" x14ac:dyDescent="0.35">
      <c r="A21" s="29">
        <v>4</v>
      </c>
      <c r="B21" s="15">
        <v>0</v>
      </c>
      <c r="C21" s="15">
        <v>0</v>
      </c>
      <c r="D21" s="23">
        <v>424.2</v>
      </c>
      <c r="E21" s="15">
        <v>393.8</v>
      </c>
      <c r="F21" s="15">
        <v>0</v>
      </c>
      <c r="G21" s="16">
        <v>20</v>
      </c>
      <c r="H21" s="18" t="s">
        <v>35</v>
      </c>
      <c r="I21" s="27">
        <f t="shared" si="0"/>
        <v>-1</v>
      </c>
    </row>
    <row r="22" spans="1:9" x14ac:dyDescent="0.35">
      <c r="A22" s="29">
        <v>3</v>
      </c>
      <c r="B22" s="15">
        <v>0</v>
      </c>
      <c r="C22" s="15">
        <v>0</v>
      </c>
      <c r="D22" s="23">
        <v>424.2</v>
      </c>
      <c r="E22" s="15">
        <v>393.8</v>
      </c>
      <c r="F22" s="15">
        <v>0</v>
      </c>
      <c r="G22" s="16">
        <v>21</v>
      </c>
      <c r="H22" s="18" t="s">
        <v>36</v>
      </c>
      <c r="I22" s="27">
        <f t="shared" si="0"/>
        <v>-1</v>
      </c>
    </row>
    <row r="23" spans="1:9" x14ac:dyDescent="0.35">
      <c r="A23" s="14">
        <v>51</v>
      </c>
      <c r="B23" s="15">
        <v>0</v>
      </c>
      <c r="C23" s="15">
        <v>1</v>
      </c>
      <c r="D23" s="23">
        <v>19040</v>
      </c>
      <c r="E23" s="15">
        <v>0</v>
      </c>
      <c r="F23" s="15">
        <v>0</v>
      </c>
      <c r="G23" s="16">
        <v>22</v>
      </c>
      <c r="H23" t="s">
        <v>147</v>
      </c>
      <c r="I23" s="27">
        <f t="shared" si="0"/>
        <v>-1</v>
      </c>
    </row>
    <row r="24" spans="1:9" x14ac:dyDescent="0.35">
      <c r="A24" s="14">
        <v>52</v>
      </c>
      <c r="B24" s="15">
        <v>0</v>
      </c>
      <c r="C24" s="15">
        <v>1</v>
      </c>
      <c r="D24" s="23">
        <v>19040</v>
      </c>
      <c r="E24" s="15">
        <v>0</v>
      </c>
      <c r="F24" s="15">
        <v>0</v>
      </c>
      <c r="G24" s="16">
        <v>23</v>
      </c>
      <c r="H24" s="18" t="s">
        <v>148</v>
      </c>
      <c r="I24" s="27">
        <f t="shared" si="0"/>
        <v>-1</v>
      </c>
    </row>
    <row r="25" spans="1:9" x14ac:dyDescent="0.35">
      <c r="A25" s="14">
        <v>53</v>
      </c>
      <c r="B25" s="15">
        <v>0</v>
      </c>
      <c r="C25" s="15">
        <v>1</v>
      </c>
      <c r="D25" s="23">
        <v>19040</v>
      </c>
      <c r="E25" s="15">
        <v>0</v>
      </c>
      <c r="F25" s="15">
        <v>0</v>
      </c>
      <c r="G25" s="16">
        <v>24</v>
      </c>
      <c r="H25" s="18" t="s">
        <v>149</v>
      </c>
      <c r="I25" s="27">
        <f t="shared" si="0"/>
        <v>-1</v>
      </c>
    </row>
    <row r="26" spans="1:9" x14ac:dyDescent="0.35">
      <c r="A26" s="14">
        <v>5</v>
      </c>
      <c r="B26" s="15">
        <v>9</v>
      </c>
      <c r="C26" s="15">
        <v>3</v>
      </c>
      <c r="D26" s="15">
        <v>13.04</v>
      </c>
      <c r="E26" s="15">
        <v>167.4</v>
      </c>
      <c r="F26" s="15">
        <v>0</v>
      </c>
      <c r="G26" s="16">
        <v>25</v>
      </c>
      <c r="H26" t="s">
        <v>46</v>
      </c>
      <c r="I26" s="27">
        <f t="shared" si="0"/>
        <v>-1</v>
      </c>
    </row>
    <row r="27" spans="1:9" x14ac:dyDescent="0.35">
      <c r="A27" s="14">
        <v>2</v>
      </c>
      <c r="B27" s="15">
        <v>8</v>
      </c>
      <c r="C27" s="15">
        <v>3</v>
      </c>
      <c r="D27" s="15">
        <v>13.04</v>
      </c>
      <c r="E27" s="15">
        <v>167.4</v>
      </c>
      <c r="F27" s="15">
        <v>0</v>
      </c>
      <c r="G27" s="16">
        <v>26</v>
      </c>
      <c r="H27" s="18" t="s">
        <v>47</v>
      </c>
      <c r="I27" s="27">
        <f t="shared" si="0"/>
        <v>-1</v>
      </c>
    </row>
    <row r="28" spans="1:9" x14ac:dyDescent="0.35">
      <c r="A28" s="14">
        <v>1</v>
      </c>
      <c r="B28" s="15">
        <v>7</v>
      </c>
      <c r="C28" s="15">
        <v>3</v>
      </c>
      <c r="D28" s="15">
        <v>13.04</v>
      </c>
      <c r="E28" s="15">
        <v>167.4</v>
      </c>
      <c r="F28" s="15">
        <v>0</v>
      </c>
      <c r="G28" s="16">
        <v>27</v>
      </c>
      <c r="H28" s="18" t="s">
        <v>48</v>
      </c>
      <c r="I28" s="27">
        <f t="shared" si="0"/>
        <v>-1</v>
      </c>
    </row>
    <row r="29" spans="1:9" x14ac:dyDescent="0.35">
      <c r="A29" s="14">
        <v>57</v>
      </c>
      <c r="B29" s="15">
        <v>9</v>
      </c>
      <c r="C29" s="15">
        <v>0</v>
      </c>
      <c r="D29" s="15">
        <v>3.1019999999999999</v>
      </c>
      <c r="E29" s="15">
        <v>19.29</v>
      </c>
      <c r="F29" s="15">
        <v>0</v>
      </c>
      <c r="G29" s="16">
        <v>28</v>
      </c>
      <c r="H29" t="s">
        <v>49</v>
      </c>
      <c r="I29" s="27">
        <f t="shared" si="0"/>
        <v>-1</v>
      </c>
    </row>
    <row r="30" spans="1:9" x14ac:dyDescent="0.35">
      <c r="A30" s="14">
        <v>5</v>
      </c>
      <c r="B30" s="15">
        <v>58</v>
      </c>
      <c r="C30" s="15">
        <v>0</v>
      </c>
      <c r="D30" s="15">
        <v>0</v>
      </c>
      <c r="E30" s="15">
        <v>0</v>
      </c>
      <c r="F30" s="15">
        <v>0.19389999999999999</v>
      </c>
      <c r="G30" s="16">
        <v>29</v>
      </c>
      <c r="H30" t="s">
        <v>50</v>
      </c>
      <c r="I30" s="27">
        <f t="shared" si="0"/>
        <v>-1</v>
      </c>
    </row>
    <row r="31" spans="1:9" x14ac:dyDescent="0.35">
      <c r="A31" s="14">
        <v>2</v>
      </c>
      <c r="B31" s="15">
        <v>58</v>
      </c>
      <c r="C31" s="15">
        <v>0</v>
      </c>
      <c r="D31" s="15">
        <v>0</v>
      </c>
      <c r="E31" s="15">
        <v>0</v>
      </c>
      <c r="F31" s="15">
        <v>0.19389999999999999</v>
      </c>
      <c r="G31" s="16">
        <v>30</v>
      </c>
      <c r="H31" t="s">
        <v>51</v>
      </c>
      <c r="I31" s="27">
        <f t="shared" si="0"/>
        <v>-1</v>
      </c>
    </row>
    <row r="32" spans="1:9" x14ac:dyDescent="0.35">
      <c r="A32" s="14">
        <v>1</v>
      </c>
      <c r="B32" s="15">
        <v>58</v>
      </c>
      <c r="C32" s="15">
        <v>0</v>
      </c>
      <c r="D32" s="15">
        <v>0</v>
      </c>
      <c r="E32" s="15">
        <v>0</v>
      </c>
      <c r="F32" s="15">
        <v>0.19389999999999999</v>
      </c>
      <c r="G32" s="16">
        <v>31</v>
      </c>
      <c r="H32" t="s">
        <v>52</v>
      </c>
      <c r="I32" s="27">
        <f t="shared" si="0"/>
        <v>-1</v>
      </c>
    </row>
    <row r="33" spans="1:9" x14ac:dyDescent="0.35">
      <c r="A33" s="14">
        <v>58</v>
      </c>
      <c r="B33" s="15">
        <v>0</v>
      </c>
      <c r="C33" s="15">
        <v>0</v>
      </c>
      <c r="D33" s="15">
        <v>0</v>
      </c>
      <c r="E33" s="15">
        <v>0</v>
      </c>
      <c r="F33" s="15">
        <v>-2182</v>
      </c>
      <c r="G33" s="16">
        <v>32</v>
      </c>
      <c r="H33" t="s">
        <v>53</v>
      </c>
      <c r="I33" s="27">
        <f t="shared" si="0"/>
        <v>-1</v>
      </c>
    </row>
    <row r="34" spans="1:9" x14ac:dyDescent="0.35">
      <c r="A34" s="14">
        <v>9</v>
      </c>
      <c r="B34" s="15">
        <v>59</v>
      </c>
      <c r="C34" s="15">
        <v>0</v>
      </c>
      <c r="D34" s="15">
        <v>0</v>
      </c>
      <c r="E34" s="15">
        <v>0</v>
      </c>
      <c r="F34" s="15">
        <v>0.19389999999999999</v>
      </c>
      <c r="G34" s="16">
        <v>33</v>
      </c>
      <c r="H34" t="s">
        <v>54</v>
      </c>
      <c r="I34" s="27">
        <f t="shared" si="0"/>
        <v>-1</v>
      </c>
    </row>
    <row r="35" spans="1:9" x14ac:dyDescent="0.35">
      <c r="A35" s="14">
        <v>8</v>
      </c>
      <c r="B35" s="15">
        <v>59</v>
      </c>
      <c r="C35" s="15">
        <v>0</v>
      </c>
      <c r="D35" s="15">
        <v>0</v>
      </c>
      <c r="E35" s="15">
        <v>0</v>
      </c>
      <c r="F35" s="15">
        <v>0.19389999999999999</v>
      </c>
      <c r="G35" s="16">
        <v>34</v>
      </c>
      <c r="H35" t="s">
        <v>55</v>
      </c>
      <c r="I35" s="27">
        <f t="shared" si="0"/>
        <v>-1</v>
      </c>
    </row>
    <row r="36" spans="1:9" x14ac:dyDescent="0.35">
      <c r="A36" s="14">
        <v>7</v>
      </c>
      <c r="B36" s="15">
        <v>59</v>
      </c>
      <c r="C36" s="15">
        <v>0</v>
      </c>
      <c r="D36" s="15">
        <v>0</v>
      </c>
      <c r="E36" s="15">
        <v>0</v>
      </c>
      <c r="F36" s="15">
        <v>0.19389999999999999</v>
      </c>
      <c r="G36" s="16">
        <v>35</v>
      </c>
      <c r="H36" t="s">
        <v>56</v>
      </c>
      <c r="I36" s="27">
        <f t="shared" si="0"/>
        <v>-1</v>
      </c>
    </row>
    <row r="37" spans="1:9" x14ac:dyDescent="0.35">
      <c r="A37" s="14">
        <v>59</v>
      </c>
      <c r="B37" s="15">
        <v>0</v>
      </c>
      <c r="C37" s="15">
        <v>0</v>
      </c>
      <c r="D37" s="15">
        <v>0</v>
      </c>
      <c r="E37" s="15">
        <v>0</v>
      </c>
      <c r="F37" s="15">
        <v>-2182</v>
      </c>
      <c r="G37" s="16">
        <v>36</v>
      </c>
      <c r="H37" t="s">
        <v>57</v>
      </c>
      <c r="I37" s="27">
        <f t="shared" si="0"/>
        <v>-1</v>
      </c>
    </row>
    <row r="38" spans="1:9" x14ac:dyDescent="0.35">
      <c r="A38" s="14">
        <v>17</v>
      </c>
      <c r="B38" s="15">
        <v>9</v>
      </c>
      <c r="C38" s="15">
        <v>3</v>
      </c>
      <c r="D38" s="15">
        <v>14.68</v>
      </c>
      <c r="E38" s="15">
        <v>171.7</v>
      </c>
      <c r="F38" s="15">
        <v>0</v>
      </c>
      <c r="G38" s="16">
        <v>37</v>
      </c>
      <c r="H38" t="s">
        <v>58</v>
      </c>
      <c r="I38" s="27">
        <f t="shared" si="0"/>
        <v>-1</v>
      </c>
    </row>
    <row r="39" spans="1:9" x14ac:dyDescent="0.35">
      <c r="A39" s="14">
        <v>16</v>
      </c>
      <c r="B39" s="15">
        <v>8</v>
      </c>
      <c r="C39" s="15">
        <v>3</v>
      </c>
      <c r="D39" s="15">
        <v>14.68</v>
      </c>
      <c r="E39" s="15">
        <v>171.7</v>
      </c>
      <c r="F39" s="15">
        <v>0</v>
      </c>
      <c r="G39" s="16">
        <v>38</v>
      </c>
      <c r="H39" t="s">
        <v>59</v>
      </c>
      <c r="I39" s="27">
        <f t="shared" si="0"/>
        <v>-1</v>
      </c>
    </row>
    <row r="40" spans="1:9" x14ac:dyDescent="0.35">
      <c r="A40" s="14">
        <v>18</v>
      </c>
      <c r="B40" s="15">
        <v>7</v>
      </c>
      <c r="C40" s="15">
        <v>3</v>
      </c>
      <c r="D40" s="15">
        <v>14.68</v>
      </c>
      <c r="E40" s="15">
        <v>171.7</v>
      </c>
      <c r="F40" s="15">
        <v>0</v>
      </c>
      <c r="G40" s="16">
        <v>39</v>
      </c>
      <c r="H40" t="s">
        <v>60</v>
      </c>
      <c r="I40" s="27">
        <f t="shared" si="0"/>
        <v>-1</v>
      </c>
    </row>
    <row r="41" spans="1:9" x14ac:dyDescent="0.35">
      <c r="A41" s="14">
        <v>60</v>
      </c>
      <c r="B41" s="15">
        <v>9</v>
      </c>
      <c r="C41" s="15">
        <v>0</v>
      </c>
      <c r="D41" s="15">
        <v>2.282</v>
      </c>
      <c r="E41" s="15">
        <v>17.11</v>
      </c>
      <c r="F41" s="15">
        <v>0</v>
      </c>
      <c r="G41" s="16">
        <v>40</v>
      </c>
      <c r="H41" t="s">
        <v>61</v>
      </c>
      <c r="I41" s="27">
        <f t="shared" si="0"/>
        <v>-1</v>
      </c>
    </row>
    <row r="42" spans="1:9" x14ac:dyDescent="0.35">
      <c r="A42" s="14">
        <v>17</v>
      </c>
      <c r="B42" s="15">
        <v>61</v>
      </c>
      <c r="C42" s="15">
        <v>0</v>
      </c>
      <c r="D42" s="15">
        <v>0</v>
      </c>
      <c r="E42" s="15">
        <v>0</v>
      </c>
      <c r="F42" s="15">
        <v>0.19389999999999999</v>
      </c>
      <c r="G42" s="16">
        <v>41</v>
      </c>
      <c r="H42" t="s">
        <v>62</v>
      </c>
      <c r="I42" s="27">
        <f t="shared" si="0"/>
        <v>-1</v>
      </c>
    </row>
    <row r="43" spans="1:9" x14ac:dyDescent="0.35">
      <c r="A43" s="14">
        <v>16</v>
      </c>
      <c r="B43" s="15">
        <v>61</v>
      </c>
      <c r="C43" s="15">
        <v>0</v>
      </c>
      <c r="D43" s="15">
        <v>0</v>
      </c>
      <c r="E43" s="15">
        <v>0</v>
      </c>
      <c r="F43" s="15">
        <v>0.19389999999999999</v>
      </c>
      <c r="G43" s="16">
        <v>42</v>
      </c>
      <c r="H43" t="s">
        <v>63</v>
      </c>
      <c r="I43" s="27">
        <f t="shared" si="0"/>
        <v>-1</v>
      </c>
    </row>
    <row r="44" spans="1:9" x14ac:dyDescent="0.35">
      <c r="A44" s="14">
        <v>18</v>
      </c>
      <c r="B44" s="15">
        <v>61</v>
      </c>
      <c r="C44" s="15">
        <v>0</v>
      </c>
      <c r="D44" s="15">
        <v>0</v>
      </c>
      <c r="E44" s="15">
        <v>0</v>
      </c>
      <c r="F44" s="15">
        <v>0.19389999999999999</v>
      </c>
      <c r="G44" s="16">
        <v>43</v>
      </c>
      <c r="H44" t="s">
        <v>64</v>
      </c>
      <c r="I44" s="27">
        <f t="shared" si="0"/>
        <v>-1</v>
      </c>
    </row>
    <row r="45" spans="1:9" x14ac:dyDescent="0.35">
      <c r="A45" s="14">
        <v>61</v>
      </c>
      <c r="B45" s="15">
        <v>0</v>
      </c>
      <c r="C45" s="15">
        <v>0</v>
      </c>
      <c r="D45" s="15">
        <v>0</v>
      </c>
      <c r="E45" s="15">
        <v>0</v>
      </c>
      <c r="F45" s="15">
        <v>-2460</v>
      </c>
      <c r="G45" s="16">
        <v>44</v>
      </c>
      <c r="H45" t="s">
        <v>65</v>
      </c>
      <c r="I45" s="27">
        <f t="shared" si="0"/>
        <v>-1</v>
      </c>
    </row>
    <row r="46" spans="1:9" x14ac:dyDescent="0.35">
      <c r="A46" s="14">
        <v>9</v>
      </c>
      <c r="B46" s="15">
        <v>62</v>
      </c>
      <c r="C46" s="15">
        <v>0</v>
      </c>
      <c r="D46" s="15">
        <v>0</v>
      </c>
      <c r="E46" s="15">
        <v>0</v>
      </c>
      <c r="F46" s="15">
        <v>0.19389999999999999</v>
      </c>
      <c r="G46" s="16">
        <v>45</v>
      </c>
      <c r="H46" t="s">
        <v>66</v>
      </c>
      <c r="I46" s="27">
        <f t="shared" si="0"/>
        <v>-1</v>
      </c>
    </row>
    <row r="47" spans="1:9" x14ac:dyDescent="0.35">
      <c r="A47" s="14">
        <v>8</v>
      </c>
      <c r="B47" s="15">
        <v>62</v>
      </c>
      <c r="C47" s="15">
        <v>0</v>
      </c>
      <c r="D47" s="15">
        <v>0</v>
      </c>
      <c r="E47" s="15">
        <v>0</v>
      </c>
      <c r="F47" s="15">
        <v>0.19389999999999999</v>
      </c>
      <c r="G47" s="16">
        <v>46</v>
      </c>
      <c r="H47" t="s">
        <v>67</v>
      </c>
      <c r="I47" s="27">
        <f t="shared" si="0"/>
        <v>-1</v>
      </c>
    </row>
    <row r="48" spans="1:9" x14ac:dyDescent="0.35">
      <c r="A48" s="14">
        <v>7</v>
      </c>
      <c r="B48" s="15">
        <v>62</v>
      </c>
      <c r="C48" s="15">
        <v>0</v>
      </c>
      <c r="D48" s="15">
        <v>0</v>
      </c>
      <c r="E48" s="15">
        <v>0</v>
      </c>
      <c r="F48" s="15">
        <v>0.19389999999999999</v>
      </c>
      <c r="G48" s="16">
        <v>47</v>
      </c>
      <c r="H48" t="s">
        <v>68</v>
      </c>
      <c r="I48" s="27">
        <f t="shared" si="0"/>
        <v>-1</v>
      </c>
    </row>
    <row r="49" spans="1:9" x14ac:dyDescent="0.35">
      <c r="A49" s="14">
        <v>62</v>
      </c>
      <c r="B49" s="15">
        <v>0</v>
      </c>
      <c r="C49" s="15">
        <v>0</v>
      </c>
      <c r="D49" s="15">
        <v>0</v>
      </c>
      <c r="E49" s="15">
        <v>0</v>
      </c>
      <c r="F49" s="15">
        <v>-2460</v>
      </c>
      <c r="G49" s="16">
        <v>48</v>
      </c>
      <c r="H49" t="s">
        <v>69</v>
      </c>
      <c r="I49" s="27">
        <f t="shared" si="0"/>
        <v>-1</v>
      </c>
    </row>
    <row r="50" spans="1:9" x14ac:dyDescent="0.35">
      <c r="A50" s="14">
        <v>14</v>
      </c>
      <c r="B50" s="15">
        <v>5</v>
      </c>
      <c r="C50" s="15">
        <v>3</v>
      </c>
      <c r="D50" s="15">
        <v>28.63</v>
      </c>
      <c r="E50" s="15">
        <v>327.7</v>
      </c>
      <c r="F50" s="15">
        <v>0</v>
      </c>
      <c r="G50" s="16">
        <v>49</v>
      </c>
      <c r="H50" t="s">
        <v>70</v>
      </c>
      <c r="I50" s="27">
        <f t="shared" si="0"/>
        <v>-1</v>
      </c>
    </row>
    <row r="51" spans="1:9" x14ac:dyDescent="0.35">
      <c r="A51" s="14">
        <v>13</v>
      </c>
      <c r="B51" s="15">
        <v>2</v>
      </c>
      <c r="C51" s="15">
        <v>3</v>
      </c>
      <c r="D51" s="15">
        <v>28.63</v>
      </c>
      <c r="E51" s="15">
        <v>327.7</v>
      </c>
      <c r="F51" s="15">
        <v>0</v>
      </c>
      <c r="G51" s="16">
        <v>50</v>
      </c>
      <c r="H51" t="s">
        <v>71</v>
      </c>
      <c r="I51" s="27">
        <f t="shared" si="0"/>
        <v>-1</v>
      </c>
    </row>
    <row r="52" spans="1:9" x14ac:dyDescent="0.35">
      <c r="A52" s="14">
        <v>15</v>
      </c>
      <c r="B52" s="15">
        <v>1</v>
      </c>
      <c r="C52" s="15">
        <v>3</v>
      </c>
      <c r="D52" s="15">
        <v>28.63</v>
      </c>
      <c r="E52" s="15">
        <v>327.7</v>
      </c>
      <c r="F52" s="15">
        <v>0</v>
      </c>
      <c r="G52" s="16">
        <v>51</v>
      </c>
      <c r="H52" t="s">
        <v>72</v>
      </c>
      <c r="I52" s="27">
        <f t="shared" si="0"/>
        <v>-1</v>
      </c>
    </row>
    <row r="53" spans="1:9" x14ac:dyDescent="0.35">
      <c r="A53" s="14">
        <v>63</v>
      </c>
      <c r="B53" s="15">
        <v>5</v>
      </c>
      <c r="C53" s="15">
        <v>0</v>
      </c>
      <c r="D53" s="15">
        <v>4.7160000000000002</v>
      </c>
      <c r="E53" s="15">
        <v>41</v>
      </c>
      <c r="F53" s="15">
        <v>0</v>
      </c>
      <c r="G53" s="16">
        <v>52</v>
      </c>
      <c r="H53" t="s">
        <v>73</v>
      </c>
      <c r="I53" s="27">
        <f t="shared" si="0"/>
        <v>-1</v>
      </c>
    </row>
    <row r="54" spans="1:9" x14ac:dyDescent="0.35">
      <c r="A54" s="14">
        <v>14</v>
      </c>
      <c r="B54" s="15">
        <v>64</v>
      </c>
      <c r="C54" s="15">
        <v>0</v>
      </c>
      <c r="D54" s="15">
        <v>0</v>
      </c>
      <c r="E54" s="15">
        <v>0</v>
      </c>
      <c r="F54" s="15">
        <v>0.3886</v>
      </c>
      <c r="G54" s="16">
        <v>53</v>
      </c>
      <c r="H54" t="s">
        <v>74</v>
      </c>
      <c r="I54" s="27">
        <f t="shared" si="0"/>
        <v>-1</v>
      </c>
    </row>
    <row r="55" spans="1:9" x14ac:dyDescent="0.35">
      <c r="A55" s="14">
        <v>13</v>
      </c>
      <c r="B55" s="15">
        <v>64</v>
      </c>
      <c r="C55" s="15">
        <v>0</v>
      </c>
      <c r="D55" s="15">
        <v>0</v>
      </c>
      <c r="E55" s="15">
        <v>0</v>
      </c>
      <c r="F55" s="15">
        <v>0.3886</v>
      </c>
      <c r="G55" s="16">
        <v>54</v>
      </c>
      <c r="H55" t="s">
        <v>75</v>
      </c>
      <c r="I55" s="27">
        <f t="shared" si="0"/>
        <v>-1</v>
      </c>
    </row>
    <row r="56" spans="1:9" x14ac:dyDescent="0.35">
      <c r="A56" s="14">
        <v>15</v>
      </c>
      <c r="B56" s="15">
        <v>64</v>
      </c>
      <c r="C56" s="15">
        <v>0</v>
      </c>
      <c r="D56" s="15">
        <v>0</v>
      </c>
      <c r="E56" s="15">
        <v>0</v>
      </c>
      <c r="F56" s="15">
        <v>0.3886</v>
      </c>
      <c r="G56" s="16">
        <v>55</v>
      </c>
      <c r="H56" t="s">
        <v>76</v>
      </c>
      <c r="I56" s="27">
        <f t="shared" si="0"/>
        <v>-1</v>
      </c>
    </row>
    <row r="57" spans="1:9" x14ac:dyDescent="0.35">
      <c r="A57" s="14">
        <v>64</v>
      </c>
      <c r="B57" s="15">
        <v>0</v>
      </c>
      <c r="C57" s="15">
        <v>0</v>
      </c>
      <c r="D57" s="15">
        <v>0</v>
      </c>
      <c r="E57" s="15">
        <v>0</v>
      </c>
      <c r="F57" s="15">
        <v>-1017</v>
      </c>
      <c r="G57" s="16">
        <v>56</v>
      </c>
      <c r="H57" t="s">
        <v>77</v>
      </c>
      <c r="I57" s="27">
        <f t="shared" si="0"/>
        <v>-1</v>
      </c>
    </row>
    <row r="58" spans="1:9" x14ac:dyDescent="0.35">
      <c r="A58" s="14">
        <v>5</v>
      </c>
      <c r="B58" s="15">
        <v>65</v>
      </c>
      <c r="C58" s="15">
        <v>0</v>
      </c>
      <c r="D58" s="15">
        <v>0</v>
      </c>
      <c r="E58" s="15">
        <v>0</v>
      </c>
      <c r="F58" s="15">
        <v>0.3886</v>
      </c>
      <c r="G58" s="16">
        <v>57</v>
      </c>
      <c r="H58" t="s">
        <v>78</v>
      </c>
      <c r="I58" s="27">
        <f t="shared" si="0"/>
        <v>-1</v>
      </c>
    </row>
    <row r="59" spans="1:9" x14ac:dyDescent="0.35">
      <c r="A59" s="14">
        <v>2</v>
      </c>
      <c r="B59" s="15">
        <v>65</v>
      </c>
      <c r="C59" s="15">
        <v>0</v>
      </c>
      <c r="D59" s="15">
        <v>0</v>
      </c>
      <c r="E59" s="15">
        <v>0</v>
      </c>
      <c r="F59" s="15">
        <v>0.3886</v>
      </c>
      <c r="G59" s="16">
        <v>58</v>
      </c>
      <c r="H59" t="s">
        <v>79</v>
      </c>
      <c r="I59" s="27">
        <f t="shared" si="0"/>
        <v>-1</v>
      </c>
    </row>
    <row r="60" spans="1:9" x14ac:dyDescent="0.35">
      <c r="A60" s="14">
        <v>1</v>
      </c>
      <c r="B60" s="15">
        <v>65</v>
      </c>
      <c r="C60" s="15">
        <v>0</v>
      </c>
      <c r="D60" s="15">
        <v>0</v>
      </c>
      <c r="E60" s="15">
        <v>0</v>
      </c>
      <c r="F60" s="15">
        <v>0.3886</v>
      </c>
      <c r="G60" s="16">
        <v>59</v>
      </c>
      <c r="H60" t="s">
        <v>80</v>
      </c>
      <c r="I60" s="27">
        <f t="shared" si="0"/>
        <v>-1</v>
      </c>
    </row>
    <row r="61" spans="1:9" x14ac:dyDescent="0.35">
      <c r="A61" s="14">
        <v>65</v>
      </c>
      <c r="B61" s="15">
        <v>0</v>
      </c>
      <c r="C61" s="15">
        <v>0</v>
      </c>
      <c r="D61" s="15">
        <v>0</v>
      </c>
      <c r="E61" s="15">
        <v>0</v>
      </c>
      <c r="F61" s="15">
        <v>-1017</v>
      </c>
      <c r="G61" s="16">
        <v>60</v>
      </c>
      <c r="H61" t="s">
        <v>81</v>
      </c>
      <c r="I61" s="27">
        <f t="shared" si="0"/>
        <v>-1</v>
      </c>
    </row>
    <row r="62" spans="1:9" x14ac:dyDescent="0.35">
      <c r="A62" s="14">
        <v>12</v>
      </c>
      <c r="B62" s="15">
        <v>17</v>
      </c>
      <c r="C62" s="15">
        <v>3</v>
      </c>
      <c r="D62" s="15">
        <v>30.25</v>
      </c>
      <c r="E62" s="15">
        <v>333.3</v>
      </c>
      <c r="F62" s="15">
        <v>0</v>
      </c>
      <c r="G62" s="16">
        <v>61</v>
      </c>
      <c r="H62" t="s">
        <v>82</v>
      </c>
      <c r="I62" s="27">
        <f t="shared" si="0"/>
        <v>-1</v>
      </c>
    </row>
    <row r="63" spans="1:9" x14ac:dyDescent="0.35">
      <c r="A63" s="14">
        <v>11</v>
      </c>
      <c r="B63" s="15">
        <v>16</v>
      </c>
      <c r="C63" s="15">
        <v>3</v>
      </c>
      <c r="D63" s="15">
        <v>30.25</v>
      </c>
      <c r="E63" s="15">
        <v>333.3</v>
      </c>
      <c r="F63" s="15">
        <v>0</v>
      </c>
      <c r="G63" s="16">
        <v>62</v>
      </c>
      <c r="H63" t="s">
        <v>83</v>
      </c>
      <c r="I63" s="27">
        <f t="shared" si="0"/>
        <v>-1</v>
      </c>
    </row>
    <row r="64" spans="1:9" x14ac:dyDescent="0.35">
      <c r="A64" s="14">
        <v>10</v>
      </c>
      <c r="B64" s="15">
        <v>18</v>
      </c>
      <c r="C64" s="15">
        <v>3</v>
      </c>
      <c r="D64" s="15">
        <v>30.25</v>
      </c>
      <c r="E64" s="15">
        <v>333.3</v>
      </c>
      <c r="F64" s="15">
        <v>0</v>
      </c>
      <c r="G64" s="16">
        <v>63</v>
      </c>
      <c r="H64" t="s">
        <v>84</v>
      </c>
      <c r="I64" s="27">
        <f t="shared" si="0"/>
        <v>-1</v>
      </c>
    </row>
    <row r="65" spans="1:9" x14ac:dyDescent="0.35">
      <c r="A65" s="14">
        <v>66</v>
      </c>
      <c r="B65" s="15">
        <v>17</v>
      </c>
      <c r="C65" s="15">
        <v>0</v>
      </c>
      <c r="D65" s="15">
        <v>3.9039999999999999</v>
      </c>
      <c r="E65" s="15">
        <v>38.22</v>
      </c>
      <c r="F65" s="15">
        <v>0</v>
      </c>
      <c r="G65" s="16">
        <v>64</v>
      </c>
      <c r="H65" t="s">
        <v>85</v>
      </c>
      <c r="I65" s="27">
        <f t="shared" si="0"/>
        <v>-1</v>
      </c>
    </row>
    <row r="66" spans="1:9" x14ac:dyDescent="0.35">
      <c r="A66" s="14">
        <v>12</v>
      </c>
      <c r="B66" s="15">
        <v>67</v>
      </c>
      <c r="C66" s="15">
        <v>0</v>
      </c>
      <c r="D66" s="15">
        <v>0</v>
      </c>
      <c r="E66" s="15">
        <v>0</v>
      </c>
      <c r="F66" s="15">
        <v>0.3886</v>
      </c>
      <c r="G66" s="16">
        <v>65</v>
      </c>
      <c r="H66" t="s">
        <v>86</v>
      </c>
      <c r="I66" s="27">
        <f t="shared" si="0"/>
        <v>-1</v>
      </c>
    </row>
    <row r="67" spans="1:9" x14ac:dyDescent="0.35">
      <c r="A67" s="14">
        <v>11</v>
      </c>
      <c r="B67" s="15">
        <v>67</v>
      </c>
      <c r="C67" s="15">
        <v>0</v>
      </c>
      <c r="D67" s="15">
        <v>0</v>
      </c>
      <c r="E67" s="15">
        <v>0</v>
      </c>
      <c r="F67" s="15">
        <v>0.3886</v>
      </c>
      <c r="G67" s="16">
        <v>66</v>
      </c>
      <c r="H67" t="s">
        <v>87</v>
      </c>
      <c r="I67" s="27">
        <f t="shared" ref="I67:I124" si="1">IF(C67="S",0,IF(C67="P",1,IF(C67="Mut",3,IF(C67="Tr",2,-1))))</f>
        <v>-1</v>
      </c>
    </row>
    <row r="68" spans="1:9" x14ac:dyDescent="0.35">
      <c r="A68" s="14">
        <v>10</v>
      </c>
      <c r="B68" s="15">
        <v>67</v>
      </c>
      <c r="C68" s="15">
        <v>0</v>
      </c>
      <c r="D68" s="15">
        <v>0</v>
      </c>
      <c r="E68" s="15">
        <v>0</v>
      </c>
      <c r="F68" s="15">
        <v>0.3886</v>
      </c>
      <c r="G68" s="16">
        <v>67</v>
      </c>
      <c r="H68" t="s">
        <v>88</v>
      </c>
      <c r="I68" s="27">
        <f t="shared" si="1"/>
        <v>-1</v>
      </c>
    </row>
    <row r="69" spans="1:9" x14ac:dyDescent="0.35">
      <c r="A69" s="14">
        <v>67</v>
      </c>
      <c r="B69" s="15">
        <v>0</v>
      </c>
      <c r="C69" s="15">
        <v>0</v>
      </c>
      <c r="D69" s="15">
        <v>0</v>
      </c>
      <c r="E69" s="15">
        <v>0</v>
      </c>
      <c r="F69" s="15">
        <v>-1090</v>
      </c>
      <c r="G69" s="16">
        <v>68</v>
      </c>
      <c r="H69" t="s">
        <v>89</v>
      </c>
      <c r="I69" s="27">
        <f t="shared" si="1"/>
        <v>-1</v>
      </c>
    </row>
    <row r="70" spans="1:9" x14ac:dyDescent="0.35">
      <c r="A70" s="14">
        <v>17</v>
      </c>
      <c r="B70" s="15">
        <v>68</v>
      </c>
      <c r="C70" s="15">
        <v>0</v>
      </c>
      <c r="D70" s="15">
        <v>0</v>
      </c>
      <c r="E70" s="15">
        <v>0</v>
      </c>
      <c r="F70" s="15">
        <v>0.3886</v>
      </c>
      <c r="G70" s="16">
        <v>69</v>
      </c>
      <c r="H70" t="s">
        <v>90</v>
      </c>
      <c r="I70" s="27">
        <f t="shared" si="1"/>
        <v>-1</v>
      </c>
    </row>
    <row r="71" spans="1:9" x14ac:dyDescent="0.35">
      <c r="A71" s="14">
        <v>16</v>
      </c>
      <c r="B71" s="15">
        <v>68</v>
      </c>
      <c r="C71" s="15">
        <v>0</v>
      </c>
      <c r="D71" s="15">
        <v>0</v>
      </c>
      <c r="E71" s="15">
        <v>0</v>
      </c>
      <c r="F71" s="15">
        <v>0.3886</v>
      </c>
      <c r="G71" s="16">
        <v>70</v>
      </c>
      <c r="H71" t="s">
        <v>91</v>
      </c>
      <c r="I71" s="27">
        <f t="shared" si="1"/>
        <v>-1</v>
      </c>
    </row>
    <row r="72" spans="1:9" x14ac:dyDescent="0.35">
      <c r="A72" s="14">
        <v>18</v>
      </c>
      <c r="B72" s="15">
        <v>68</v>
      </c>
      <c r="C72" s="15">
        <v>0</v>
      </c>
      <c r="D72" s="15">
        <v>0</v>
      </c>
      <c r="E72" s="15">
        <v>0</v>
      </c>
      <c r="F72" s="15">
        <v>0.3886</v>
      </c>
      <c r="G72" s="16">
        <v>71</v>
      </c>
      <c r="H72" t="s">
        <v>92</v>
      </c>
      <c r="I72" s="27">
        <f t="shared" si="1"/>
        <v>-1</v>
      </c>
    </row>
    <row r="73" spans="1:9" x14ac:dyDescent="0.35">
      <c r="A73" s="14">
        <v>68</v>
      </c>
      <c r="B73" s="15">
        <v>0</v>
      </c>
      <c r="C73" s="15">
        <v>0</v>
      </c>
      <c r="D73" s="15">
        <v>0</v>
      </c>
      <c r="E73" s="15">
        <v>0</v>
      </c>
      <c r="F73" s="15">
        <v>-1090</v>
      </c>
      <c r="G73" s="16">
        <v>72</v>
      </c>
      <c r="H73" t="s">
        <v>93</v>
      </c>
      <c r="I73" s="27">
        <f t="shared" si="1"/>
        <v>-1</v>
      </c>
    </row>
    <row r="74" spans="1:9" x14ac:dyDescent="0.35">
      <c r="A74" s="14">
        <v>14</v>
      </c>
      <c r="B74" s="15">
        <v>6</v>
      </c>
      <c r="C74" s="15">
        <v>3</v>
      </c>
      <c r="D74" s="15">
        <v>12.69</v>
      </c>
      <c r="E74" s="15">
        <v>159.30000000000001</v>
      </c>
      <c r="F74" s="15">
        <v>0</v>
      </c>
      <c r="G74" s="16">
        <v>73</v>
      </c>
      <c r="H74" t="s">
        <v>94</v>
      </c>
      <c r="I74" s="27">
        <f t="shared" si="1"/>
        <v>-1</v>
      </c>
    </row>
    <row r="75" spans="1:9" x14ac:dyDescent="0.35">
      <c r="A75" s="14">
        <v>13</v>
      </c>
      <c r="B75" s="15">
        <v>4</v>
      </c>
      <c r="C75" s="15">
        <v>3</v>
      </c>
      <c r="D75" s="15">
        <v>12.69</v>
      </c>
      <c r="E75" s="15">
        <v>159.30000000000001</v>
      </c>
      <c r="F75" s="15">
        <v>0</v>
      </c>
      <c r="G75" s="16">
        <v>74</v>
      </c>
      <c r="H75" t="s">
        <v>95</v>
      </c>
      <c r="I75" s="27">
        <f t="shared" si="1"/>
        <v>-1</v>
      </c>
    </row>
    <row r="76" spans="1:9" x14ac:dyDescent="0.35">
      <c r="A76" s="14">
        <v>15</v>
      </c>
      <c r="B76" s="15">
        <v>3</v>
      </c>
      <c r="C76" s="15">
        <v>3</v>
      </c>
      <c r="D76" s="15">
        <v>12.69</v>
      </c>
      <c r="E76" s="15">
        <v>159.30000000000001</v>
      </c>
      <c r="F76" s="15">
        <v>0</v>
      </c>
      <c r="G76" s="16">
        <v>75</v>
      </c>
      <c r="H76" t="s">
        <v>96</v>
      </c>
      <c r="I76" s="27">
        <f t="shared" si="1"/>
        <v>-1</v>
      </c>
    </row>
    <row r="77" spans="1:9" x14ac:dyDescent="0.35">
      <c r="A77" s="14">
        <v>69</v>
      </c>
      <c r="B77" s="15">
        <v>6</v>
      </c>
      <c r="C77" s="15">
        <v>0</v>
      </c>
      <c r="D77" s="15">
        <v>3.2770000000000001</v>
      </c>
      <c r="E77" s="15">
        <v>23.32</v>
      </c>
      <c r="F77" s="15">
        <v>0</v>
      </c>
      <c r="G77" s="16">
        <v>76</v>
      </c>
      <c r="H77" t="s">
        <v>97</v>
      </c>
      <c r="I77" s="27">
        <f t="shared" si="1"/>
        <v>-1</v>
      </c>
    </row>
    <row r="78" spans="1:9" x14ac:dyDescent="0.35">
      <c r="A78" s="14">
        <v>14</v>
      </c>
      <c r="B78" s="15">
        <v>70</v>
      </c>
      <c r="C78" s="15">
        <v>0</v>
      </c>
      <c r="D78" s="15">
        <v>0</v>
      </c>
      <c r="E78" s="15">
        <v>0</v>
      </c>
      <c r="F78" s="15">
        <v>0.16889999999999999</v>
      </c>
      <c r="G78" s="16">
        <v>77</v>
      </c>
      <c r="H78" t="s">
        <v>98</v>
      </c>
      <c r="I78" s="27">
        <f t="shared" si="1"/>
        <v>-1</v>
      </c>
    </row>
    <row r="79" spans="1:9" x14ac:dyDescent="0.35">
      <c r="A79" s="14">
        <v>13</v>
      </c>
      <c r="B79" s="15">
        <v>70</v>
      </c>
      <c r="C79" s="15">
        <v>0</v>
      </c>
      <c r="D79" s="15">
        <v>0</v>
      </c>
      <c r="E79" s="15">
        <v>0</v>
      </c>
      <c r="F79" s="15">
        <v>0.16889999999999999</v>
      </c>
      <c r="G79" s="16">
        <v>78</v>
      </c>
      <c r="H79" t="s">
        <v>99</v>
      </c>
      <c r="I79" s="27">
        <f t="shared" si="1"/>
        <v>-1</v>
      </c>
    </row>
    <row r="80" spans="1:9" x14ac:dyDescent="0.35">
      <c r="A80" s="14">
        <v>15</v>
      </c>
      <c r="B80" s="15">
        <v>70</v>
      </c>
      <c r="C80" s="15">
        <v>0</v>
      </c>
      <c r="D80" s="15">
        <v>0</v>
      </c>
      <c r="E80" s="15">
        <v>0</v>
      </c>
      <c r="F80" s="15">
        <v>0.16889999999999999</v>
      </c>
      <c r="G80" s="16">
        <v>79</v>
      </c>
      <c r="H80" t="s">
        <v>100</v>
      </c>
      <c r="I80" s="27">
        <f t="shared" si="1"/>
        <v>-1</v>
      </c>
    </row>
    <row r="81" spans="1:9" x14ac:dyDescent="0.35">
      <c r="A81" s="14">
        <v>70</v>
      </c>
      <c r="B81" s="15">
        <v>0</v>
      </c>
      <c r="C81" s="15">
        <v>0</v>
      </c>
      <c r="D81" s="15">
        <v>0</v>
      </c>
      <c r="E81" s="15">
        <v>0</v>
      </c>
      <c r="F81" s="15">
        <v>-3.9159999999999999</v>
      </c>
      <c r="G81" s="16">
        <v>80</v>
      </c>
      <c r="H81" t="s">
        <v>101</v>
      </c>
      <c r="I81" s="27">
        <f t="shared" si="1"/>
        <v>-1</v>
      </c>
    </row>
    <row r="82" spans="1:9" x14ac:dyDescent="0.35">
      <c r="A82" s="14">
        <v>6</v>
      </c>
      <c r="B82" s="15">
        <v>71</v>
      </c>
      <c r="C82" s="15">
        <v>0</v>
      </c>
      <c r="D82" s="15">
        <v>0</v>
      </c>
      <c r="E82" s="15">
        <v>0</v>
      </c>
      <c r="F82" s="15">
        <v>0.16889999999999999</v>
      </c>
      <c r="G82" s="16">
        <v>81</v>
      </c>
      <c r="H82" t="s">
        <v>102</v>
      </c>
      <c r="I82" s="27">
        <f t="shared" si="1"/>
        <v>-1</v>
      </c>
    </row>
    <row r="83" spans="1:9" x14ac:dyDescent="0.35">
      <c r="A83" s="14">
        <v>4</v>
      </c>
      <c r="B83" s="15">
        <v>71</v>
      </c>
      <c r="C83" s="15">
        <v>0</v>
      </c>
      <c r="D83" s="15">
        <v>0</v>
      </c>
      <c r="E83" s="15">
        <v>0</v>
      </c>
      <c r="F83" s="15">
        <v>0.16889999999999999</v>
      </c>
      <c r="G83" s="16">
        <v>82</v>
      </c>
      <c r="H83" t="s">
        <v>103</v>
      </c>
      <c r="I83" s="27">
        <f t="shared" si="1"/>
        <v>-1</v>
      </c>
    </row>
    <row r="84" spans="1:9" x14ac:dyDescent="0.35">
      <c r="A84" s="14">
        <v>3</v>
      </c>
      <c r="B84" s="15">
        <v>71</v>
      </c>
      <c r="C84" s="15">
        <v>0</v>
      </c>
      <c r="D84" s="15">
        <v>0</v>
      </c>
      <c r="E84" s="15">
        <v>0</v>
      </c>
      <c r="F84" s="15">
        <v>0.16889999999999999</v>
      </c>
      <c r="G84" s="16">
        <v>83</v>
      </c>
      <c r="H84" t="s">
        <v>104</v>
      </c>
      <c r="I84" s="27">
        <f t="shared" si="1"/>
        <v>-1</v>
      </c>
    </row>
    <row r="85" spans="1:9" x14ac:dyDescent="0.35">
      <c r="A85" s="24">
        <v>71</v>
      </c>
      <c r="B85" s="25">
        <v>0</v>
      </c>
      <c r="C85" s="25">
        <v>0</v>
      </c>
      <c r="D85" s="25">
        <v>0</v>
      </c>
      <c r="E85" s="25">
        <v>0</v>
      </c>
      <c r="F85" s="25">
        <v>-3.9159999999999999</v>
      </c>
      <c r="G85" s="26">
        <v>84</v>
      </c>
      <c r="H85" t="s">
        <v>105</v>
      </c>
      <c r="I85" s="27">
        <f t="shared" si="1"/>
        <v>-1</v>
      </c>
    </row>
    <row r="86" spans="1:9" x14ac:dyDescent="0.35">
      <c r="A86" s="15">
        <v>6</v>
      </c>
      <c r="B86" s="15">
        <v>12</v>
      </c>
      <c r="C86" s="15">
        <v>3</v>
      </c>
      <c r="D86" s="15">
        <v>23.97</v>
      </c>
      <c r="E86" s="15">
        <v>290.5</v>
      </c>
      <c r="F86" s="15">
        <v>0</v>
      </c>
      <c r="G86" s="15">
        <v>85</v>
      </c>
      <c r="H86" t="s">
        <v>106</v>
      </c>
      <c r="I86" s="27">
        <f t="shared" si="1"/>
        <v>-1</v>
      </c>
    </row>
    <row r="87" spans="1:9" x14ac:dyDescent="0.35">
      <c r="A87" s="15">
        <v>4</v>
      </c>
      <c r="B87" s="15">
        <v>11</v>
      </c>
      <c r="C87" s="15">
        <v>3</v>
      </c>
      <c r="D87" s="15">
        <v>23.97</v>
      </c>
      <c r="E87" s="15">
        <v>290.5</v>
      </c>
      <c r="F87" s="15">
        <v>0</v>
      </c>
      <c r="G87" s="15">
        <v>86</v>
      </c>
      <c r="H87" t="s">
        <v>107</v>
      </c>
      <c r="I87" s="27">
        <f t="shared" si="1"/>
        <v>-1</v>
      </c>
    </row>
    <row r="88" spans="1:9" x14ac:dyDescent="0.35">
      <c r="A88" s="15">
        <v>3</v>
      </c>
      <c r="B88" s="15">
        <v>10</v>
      </c>
      <c r="C88" s="15">
        <v>3</v>
      </c>
      <c r="D88" s="15">
        <v>23.97</v>
      </c>
      <c r="E88" s="15">
        <v>290.5</v>
      </c>
      <c r="F88" s="15">
        <v>0</v>
      </c>
      <c r="G88" s="15">
        <v>87</v>
      </c>
      <c r="H88" t="s">
        <v>108</v>
      </c>
      <c r="I88" s="27">
        <f t="shared" si="1"/>
        <v>-1</v>
      </c>
    </row>
    <row r="89" spans="1:9" x14ac:dyDescent="0.35">
      <c r="A89" s="15">
        <v>72</v>
      </c>
      <c r="B89" s="15">
        <v>12</v>
      </c>
      <c r="C89" s="15">
        <v>0</v>
      </c>
      <c r="D89" s="15">
        <v>7.0419999999999998</v>
      </c>
      <c r="E89" s="15">
        <v>59.61</v>
      </c>
      <c r="F89" s="15">
        <v>0</v>
      </c>
      <c r="G89" s="15">
        <v>88</v>
      </c>
      <c r="H89" t="s">
        <v>109</v>
      </c>
      <c r="I89" s="27">
        <f t="shared" si="1"/>
        <v>-1</v>
      </c>
    </row>
    <row r="90" spans="1:9" x14ac:dyDescent="0.35">
      <c r="A90" s="15">
        <v>6</v>
      </c>
      <c r="B90" s="15">
        <v>73</v>
      </c>
      <c r="C90" s="15">
        <v>0</v>
      </c>
      <c r="D90" s="15">
        <v>0</v>
      </c>
      <c r="E90" s="15">
        <v>0</v>
      </c>
      <c r="F90" s="15">
        <v>0.38840000000000002</v>
      </c>
      <c r="G90" s="15">
        <v>89</v>
      </c>
      <c r="H90" t="s">
        <v>110</v>
      </c>
      <c r="I90" s="27">
        <f t="shared" si="1"/>
        <v>-1</v>
      </c>
    </row>
    <row r="91" spans="1:9" x14ac:dyDescent="0.35">
      <c r="A91" s="15">
        <v>4</v>
      </c>
      <c r="B91" s="15">
        <v>73</v>
      </c>
      <c r="C91" s="15">
        <v>0</v>
      </c>
      <c r="D91" s="15">
        <v>0</v>
      </c>
      <c r="E91" s="15">
        <v>0</v>
      </c>
      <c r="F91" s="15">
        <v>0.38840000000000002</v>
      </c>
      <c r="G91" s="15">
        <v>90</v>
      </c>
      <c r="H91" t="s">
        <v>111</v>
      </c>
      <c r="I91" s="27">
        <f t="shared" si="1"/>
        <v>-1</v>
      </c>
    </row>
    <row r="92" spans="1:9" x14ac:dyDescent="0.35">
      <c r="A92" s="15">
        <v>3</v>
      </c>
      <c r="B92" s="15">
        <v>73</v>
      </c>
      <c r="C92" s="15">
        <v>0</v>
      </c>
      <c r="D92" s="15">
        <v>0</v>
      </c>
      <c r="E92" s="15">
        <v>0</v>
      </c>
      <c r="F92" s="15">
        <v>0.38840000000000002</v>
      </c>
      <c r="G92" s="15">
        <v>91</v>
      </c>
      <c r="H92" t="s">
        <v>112</v>
      </c>
      <c r="I92" s="27">
        <f t="shared" si="1"/>
        <v>-1</v>
      </c>
    </row>
    <row r="93" spans="1:9" x14ac:dyDescent="0.35">
      <c r="A93" s="15">
        <v>73</v>
      </c>
      <c r="B93" s="15">
        <v>0</v>
      </c>
      <c r="C93" s="15">
        <v>0</v>
      </c>
      <c r="D93" s="15">
        <v>0</v>
      </c>
      <c r="E93" s="15">
        <v>0</v>
      </c>
      <c r="F93" s="15">
        <v>-700</v>
      </c>
      <c r="G93" s="15">
        <v>92</v>
      </c>
      <c r="H93" t="s">
        <v>113</v>
      </c>
      <c r="I93" s="27">
        <f t="shared" si="1"/>
        <v>-1</v>
      </c>
    </row>
    <row r="94" spans="1:9" x14ac:dyDescent="0.35">
      <c r="A94" s="15">
        <v>12</v>
      </c>
      <c r="B94" s="15">
        <v>74</v>
      </c>
      <c r="C94" s="15">
        <v>0</v>
      </c>
      <c r="D94" s="15">
        <v>0</v>
      </c>
      <c r="E94" s="15">
        <v>0</v>
      </c>
      <c r="F94" s="15">
        <v>0.38840000000000002</v>
      </c>
      <c r="G94" s="15">
        <v>93</v>
      </c>
      <c r="H94" t="s">
        <v>114</v>
      </c>
      <c r="I94" s="27">
        <f t="shared" si="1"/>
        <v>-1</v>
      </c>
    </row>
    <row r="95" spans="1:9" x14ac:dyDescent="0.35">
      <c r="A95" s="15">
        <v>11</v>
      </c>
      <c r="B95" s="15">
        <v>74</v>
      </c>
      <c r="C95" s="15">
        <v>0</v>
      </c>
      <c r="D95" s="15">
        <v>0</v>
      </c>
      <c r="E95" s="15">
        <v>0</v>
      </c>
      <c r="F95" s="23">
        <v>0.38840000000000002</v>
      </c>
      <c r="G95" s="15">
        <v>94</v>
      </c>
      <c r="H95" t="s">
        <v>115</v>
      </c>
      <c r="I95" s="27">
        <f t="shared" si="1"/>
        <v>-1</v>
      </c>
    </row>
    <row r="96" spans="1:9" x14ac:dyDescent="0.35">
      <c r="A96" s="15">
        <v>10</v>
      </c>
      <c r="B96" s="15">
        <v>74</v>
      </c>
      <c r="C96" s="15">
        <v>0</v>
      </c>
      <c r="D96" s="15">
        <v>0</v>
      </c>
      <c r="E96" s="15">
        <v>0</v>
      </c>
      <c r="F96" s="23">
        <v>0.38840000000000002</v>
      </c>
      <c r="G96" s="15">
        <v>95</v>
      </c>
      <c r="H96" t="s">
        <v>116</v>
      </c>
      <c r="I96" s="27">
        <f t="shared" si="1"/>
        <v>-1</v>
      </c>
    </row>
    <row r="97" spans="1:9" x14ac:dyDescent="0.35">
      <c r="A97" s="15">
        <v>74</v>
      </c>
      <c r="B97" s="15">
        <v>0</v>
      </c>
      <c r="C97" s="15">
        <v>0</v>
      </c>
      <c r="D97" s="15">
        <v>0</v>
      </c>
      <c r="E97" s="15">
        <v>0</v>
      </c>
      <c r="F97" s="15">
        <v>-700</v>
      </c>
      <c r="G97" s="15">
        <v>96</v>
      </c>
      <c r="H97" t="s">
        <v>117</v>
      </c>
      <c r="I97" s="27">
        <f t="shared" si="1"/>
        <v>-1</v>
      </c>
    </row>
    <row r="98" spans="1:9" x14ac:dyDescent="0.35">
      <c r="A98" s="15">
        <v>22</v>
      </c>
      <c r="B98" s="15">
        <v>23</v>
      </c>
      <c r="C98" s="15">
        <v>2</v>
      </c>
      <c r="D98" s="15">
        <v>8.1679999999999999E-3</v>
      </c>
      <c r="E98" s="15">
        <v>0.86660000000000004</v>
      </c>
      <c r="F98" s="23">
        <v>16500</v>
      </c>
      <c r="G98" s="15">
        <v>97</v>
      </c>
      <c r="H98" t="s">
        <v>118</v>
      </c>
      <c r="I98" s="27">
        <f t="shared" si="1"/>
        <v>-1</v>
      </c>
    </row>
    <row r="99" spans="1:9" x14ac:dyDescent="0.35">
      <c r="A99" s="15">
        <v>9</v>
      </c>
      <c r="B99" s="15">
        <v>0</v>
      </c>
      <c r="C99" s="15">
        <v>2</v>
      </c>
      <c r="D99" s="15">
        <v>0.52900000000000003</v>
      </c>
      <c r="E99" s="15">
        <v>56.13</v>
      </c>
      <c r="F99" s="23">
        <v>132800</v>
      </c>
      <c r="G99" s="15">
        <v>98</v>
      </c>
      <c r="H99" t="s">
        <v>119</v>
      </c>
      <c r="I99" s="27">
        <f t="shared" si="1"/>
        <v>-1</v>
      </c>
    </row>
    <row r="100" spans="1:9" x14ac:dyDescent="0.35">
      <c r="A100" s="15">
        <v>79</v>
      </c>
      <c r="B100" s="15">
        <v>23</v>
      </c>
      <c r="C100" s="15">
        <v>1</v>
      </c>
      <c r="D100" s="15">
        <v>2042</v>
      </c>
      <c r="E100" s="15">
        <v>5416</v>
      </c>
      <c r="F100" s="15">
        <v>0</v>
      </c>
      <c r="G100" s="15">
        <v>99</v>
      </c>
      <c r="H100" t="s">
        <v>120</v>
      </c>
      <c r="I100" s="27">
        <f t="shared" si="1"/>
        <v>-1</v>
      </c>
    </row>
    <row r="101" spans="1:9" x14ac:dyDescent="0.35">
      <c r="A101" s="15">
        <v>23</v>
      </c>
      <c r="B101" s="15">
        <v>24</v>
      </c>
      <c r="C101" s="15">
        <v>2</v>
      </c>
      <c r="D101" s="15">
        <v>8.1679999999999999E-3</v>
      </c>
      <c r="E101" s="15">
        <v>0.86660000000000004</v>
      </c>
      <c r="F101" s="23">
        <v>16500</v>
      </c>
      <c r="G101" s="15">
        <v>100</v>
      </c>
      <c r="H101" t="s">
        <v>121</v>
      </c>
      <c r="I101" s="27">
        <f t="shared" si="1"/>
        <v>-1</v>
      </c>
    </row>
    <row r="102" spans="1:9" x14ac:dyDescent="0.35">
      <c r="A102" s="15">
        <v>8</v>
      </c>
      <c r="B102" s="15">
        <v>0</v>
      </c>
      <c r="C102" s="15">
        <v>2</v>
      </c>
      <c r="D102" s="15">
        <v>0.52900000000000003</v>
      </c>
      <c r="E102" s="15">
        <v>56.13</v>
      </c>
      <c r="F102" s="23">
        <v>132800</v>
      </c>
      <c r="G102" s="15">
        <v>101</v>
      </c>
      <c r="H102" t="s">
        <v>122</v>
      </c>
      <c r="I102" s="27">
        <f t="shared" si="1"/>
        <v>-1</v>
      </c>
    </row>
    <row r="103" spans="1:9" x14ac:dyDescent="0.35">
      <c r="A103" s="15">
        <v>80</v>
      </c>
      <c r="B103" s="15">
        <v>24</v>
      </c>
      <c r="C103" s="15">
        <v>1</v>
      </c>
      <c r="D103" s="15">
        <v>2042</v>
      </c>
      <c r="E103" s="15">
        <v>5416</v>
      </c>
      <c r="F103" s="15">
        <v>0</v>
      </c>
      <c r="G103" s="15">
        <v>102</v>
      </c>
      <c r="H103" t="s">
        <v>123</v>
      </c>
      <c r="I103" s="27">
        <f t="shared" si="1"/>
        <v>-1</v>
      </c>
    </row>
    <row r="104" spans="1:9" x14ac:dyDescent="0.35">
      <c r="A104" s="15">
        <v>24</v>
      </c>
      <c r="B104" s="15">
        <v>22</v>
      </c>
      <c r="C104" s="15">
        <v>2</v>
      </c>
      <c r="D104" s="15">
        <v>8.1679999999999999E-3</v>
      </c>
      <c r="E104" s="15">
        <v>0.86660000000000004</v>
      </c>
      <c r="F104" s="23">
        <v>16500</v>
      </c>
      <c r="G104" s="15">
        <v>103</v>
      </c>
      <c r="H104" t="s">
        <v>124</v>
      </c>
      <c r="I104" s="27">
        <f t="shared" si="1"/>
        <v>-1</v>
      </c>
    </row>
    <row r="105" spans="1:9" x14ac:dyDescent="0.35">
      <c r="A105" s="15">
        <v>7</v>
      </c>
      <c r="B105" s="15">
        <v>0</v>
      </c>
      <c r="C105" s="15">
        <v>2</v>
      </c>
      <c r="D105" s="15">
        <v>0.52900000000000003</v>
      </c>
      <c r="E105" s="15">
        <v>56.13</v>
      </c>
      <c r="F105" s="23">
        <v>132800</v>
      </c>
      <c r="G105" s="15">
        <v>104</v>
      </c>
      <c r="H105" t="s">
        <v>125</v>
      </c>
      <c r="I105" s="27">
        <f t="shared" si="1"/>
        <v>-1</v>
      </c>
    </row>
    <row r="106" spans="1:9" x14ac:dyDescent="0.35">
      <c r="A106" s="15">
        <v>81</v>
      </c>
      <c r="B106" s="15">
        <v>22</v>
      </c>
      <c r="C106" s="15">
        <v>1</v>
      </c>
      <c r="D106" s="15">
        <v>2042</v>
      </c>
      <c r="E106" s="23">
        <v>5416</v>
      </c>
      <c r="F106" s="15">
        <v>0</v>
      </c>
      <c r="G106" s="15">
        <v>105</v>
      </c>
      <c r="H106" t="s">
        <v>126</v>
      </c>
      <c r="I106" s="27">
        <f t="shared" si="1"/>
        <v>-1</v>
      </c>
    </row>
    <row r="107" spans="1:9" x14ac:dyDescent="0.35">
      <c r="A107" s="15">
        <v>28</v>
      </c>
      <c r="B107" s="15">
        <v>29</v>
      </c>
      <c r="C107" s="15">
        <v>2</v>
      </c>
      <c r="D107" s="15">
        <v>9.7199999999999999E-4</v>
      </c>
      <c r="E107" s="15">
        <v>0.80569999999999997</v>
      </c>
      <c r="F107" s="23">
        <v>18000</v>
      </c>
      <c r="G107" s="15">
        <v>106</v>
      </c>
      <c r="H107" t="s">
        <v>127</v>
      </c>
      <c r="I107" s="27">
        <f t="shared" si="1"/>
        <v>-1</v>
      </c>
    </row>
    <row r="108" spans="1:9" x14ac:dyDescent="0.35">
      <c r="A108" s="15">
        <v>14</v>
      </c>
      <c r="B108" s="15">
        <v>0</v>
      </c>
      <c r="C108" s="15">
        <v>2</v>
      </c>
      <c r="D108" s="15">
        <v>5.2900000000000003E-2</v>
      </c>
      <c r="E108" s="15">
        <v>43.85</v>
      </c>
      <c r="F108" s="23">
        <v>132800</v>
      </c>
      <c r="G108" s="15">
        <v>107</v>
      </c>
      <c r="H108" t="s">
        <v>128</v>
      </c>
      <c r="I108" s="27">
        <f t="shared" si="1"/>
        <v>-1</v>
      </c>
    </row>
    <row r="109" spans="1:9" x14ac:dyDescent="0.35">
      <c r="A109" s="15">
        <v>90</v>
      </c>
      <c r="B109" s="15">
        <v>29</v>
      </c>
      <c r="C109" s="15">
        <v>1</v>
      </c>
      <c r="D109" s="15">
        <v>4860</v>
      </c>
      <c r="E109" s="23">
        <v>12890</v>
      </c>
      <c r="F109" s="15">
        <v>0</v>
      </c>
      <c r="G109" s="15">
        <v>108</v>
      </c>
      <c r="H109" t="s">
        <v>129</v>
      </c>
      <c r="I109" s="27">
        <f t="shared" si="1"/>
        <v>-1</v>
      </c>
    </row>
    <row r="110" spans="1:9" x14ac:dyDescent="0.35">
      <c r="A110" s="15">
        <v>29</v>
      </c>
      <c r="B110" s="15">
        <v>30</v>
      </c>
      <c r="C110" s="15">
        <v>2</v>
      </c>
      <c r="D110" s="15">
        <v>9.7199999999999999E-4</v>
      </c>
      <c r="E110" s="15">
        <v>0.80569999999999997</v>
      </c>
      <c r="F110" s="23">
        <v>18000</v>
      </c>
      <c r="G110" s="15">
        <v>109</v>
      </c>
      <c r="H110" t="s">
        <v>130</v>
      </c>
      <c r="I110" s="27">
        <f t="shared" si="1"/>
        <v>-1</v>
      </c>
    </row>
    <row r="111" spans="1:9" x14ac:dyDescent="0.35">
      <c r="A111" s="15">
        <v>13</v>
      </c>
      <c r="B111" s="15">
        <v>0</v>
      </c>
      <c r="C111" s="15">
        <v>2</v>
      </c>
      <c r="D111" s="15">
        <v>5.2900000000000003E-2</v>
      </c>
      <c r="E111" s="15">
        <v>43.85</v>
      </c>
      <c r="F111" s="23">
        <v>132800</v>
      </c>
      <c r="G111" s="15">
        <v>110</v>
      </c>
      <c r="H111" t="s">
        <v>131</v>
      </c>
      <c r="I111" s="27">
        <f t="shared" si="1"/>
        <v>-1</v>
      </c>
    </row>
    <row r="112" spans="1:9" x14ac:dyDescent="0.35">
      <c r="A112" s="15">
        <v>91</v>
      </c>
      <c r="B112" s="15">
        <v>30</v>
      </c>
      <c r="C112" s="15">
        <v>1</v>
      </c>
      <c r="D112" s="15">
        <v>4860</v>
      </c>
      <c r="E112" s="23">
        <v>12890</v>
      </c>
      <c r="F112" s="15">
        <v>0</v>
      </c>
      <c r="G112" s="15">
        <v>111</v>
      </c>
      <c r="H112" t="s">
        <v>132</v>
      </c>
      <c r="I112" s="27">
        <f t="shared" si="1"/>
        <v>-1</v>
      </c>
    </row>
    <row r="113" spans="1:9" x14ac:dyDescent="0.35">
      <c r="A113" s="15">
        <v>30</v>
      </c>
      <c r="B113" s="15">
        <v>28</v>
      </c>
      <c r="C113" s="15">
        <v>2</v>
      </c>
      <c r="D113" s="15">
        <v>9.7199999999999999E-4</v>
      </c>
      <c r="E113" s="15">
        <v>0.80569999999999997</v>
      </c>
      <c r="F113" s="23">
        <v>18000</v>
      </c>
      <c r="G113" s="15">
        <v>112</v>
      </c>
      <c r="H113" t="s">
        <v>133</v>
      </c>
      <c r="I113" s="27">
        <f t="shared" si="1"/>
        <v>-1</v>
      </c>
    </row>
    <row r="114" spans="1:9" x14ac:dyDescent="0.35">
      <c r="A114" s="15">
        <v>15</v>
      </c>
      <c r="B114" s="15">
        <v>0</v>
      </c>
      <c r="C114" s="15">
        <v>2</v>
      </c>
      <c r="D114" s="15">
        <v>5.2900000000000003E-2</v>
      </c>
      <c r="E114" s="15">
        <v>43.85</v>
      </c>
      <c r="F114" s="23">
        <v>132800</v>
      </c>
      <c r="G114" s="15">
        <v>113</v>
      </c>
      <c r="H114" t="s">
        <v>134</v>
      </c>
      <c r="I114" s="27">
        <f t="shared" si="1"/>
        <v>-1</v>
      </c>
    </row>
    <row r="115" spans="1:9" x14ac:dyDescent="0.35">
      <c r="A115" s="15">
        <v>92</v>
      </c>
      <c r="B115" s="15">
        <v>28</v>
      </c>
      <c r="C115" s="15">
        <v>1</v>
      </c>
      <c r="D115" s="15">
        <v>4860</v>
      </c>
      <c r="E115" s="23">
        <v>12890</v>
      </c>
      <c r="F115" s="15">
        <v>0</v>
      </c>
      <c r="G115" s="15">
        <v>114</v>
      </c>
      <c r="H115" t="s">
        <v>135</v>
      </c>
      <c r="I115" s="27">
        <f t="shared" si="1"/>
        <v>-1</v>
      </c>
    </row>
    <row r="116" spans="1:9" x14ac:dyDescent="0.35">
      <c r="A116" s="15">
        <v>34</v>
      </c>
      <c r="B116" s="15">
        <v>35</v>
      </c>
      <c r="C116" s="15">
        <v>2</v>
      </c>
      <c r="D116" s="15">
        <v>5.7129999999999995E-4</v>
      </c>
      <c r="E116" s="15">
        <v>0.44400000000000001</v>
      </c>
      <c r="F116" s="23">
        <v>13800</v>
      </c>
      <c r="G116" s="15">
        <v>115</v>
      </c>
      <c r="H116" t="s">
        <v>136</v>
      </c>
      <c r="I116" s="27">
        <f t="shared" si="1"/>
        <v>-1</v>
      </c>
    </row>
    <row r="117" spans="1:9" x14ac:dyDescent="0.35">
      <c r="A117" s="15">
        <v>12</v>
      </c>
      <c r="B117" s="15">
        <v>0</v>
      </c>
      <c r="C117" s="15">
        <v>2</v>
      </c>
      <c r="D117" s="15">
        <v>5.2900000000000003E-2</v>
      </c>
      <c r="E117" s="15">
        <v>41.11</v>
      </c>
      <c r="F117" s="23">
        <v>132800</v>
      </c>
      <c r="G117" s="15">
        <v>116</v>
      </c>
      <c r="H117" t="s">
        <v>137</v>
      </c>
      <c r="I117" s="27">
        <f t="shared" si="1"/>
        <v>-1</v>
      </c>
    </row>
    <row r="118" spans="1:9" x14ac:dyDescent="0.35">
      <c r="A118" s="15">
        <v>101</v>
      </c>
      <c r="B118" s="15">
        <v>35</v>
      </c>
      <c r="C118" s="15">
        <v>1</v>
      </c>
      <c r="D118" s="15">
        <v>2857</v>
      </c>
      <c r="E118" s="15">
        <v>7577</v>
      </c>
      <c r="F118" s="15">
        <v>0</v>
      </c>
      <c r="G118" s="15">
        <v>117</v>
      </c>
      <c r="H118" t="s">
        <v>138</v>
      </c>
      <c r="I118" s="27">
        <f t="shared" si="1"/>
        <v>-1</v>
      </c>
    </row>
    <row r="119" spans="1:9" x14ac:dyDescent="0.35">
      <c r="A119" s="15">
        <v>35</v>
      </c>
      <c r="B119" s="15">
        <v>36</v>
      </c>
      <c r="C119" s="15">
        <v>2</v>
      </c>
      <c r="D119" s="15">
        <v>5.7129999999999995E-4</v>
      </c>
      <c r="E119" s="15">
        <v>0.44400000000000001</v>
      </c>
      <c r="F119" s="23">
        <v>13800</v>
      </c>
      <c r="G119" s="15">
        <v>118</v>
      </c>
      <c r="H119" t="s">
        <v>139</v>
      </c>
      <c r="I119" s="27">
        <f t="shared" si="1"/>
        <v>-1</v>
      </c>
    </row>
    <row r="120" spans="1:9" x14ac:dyDescent="0.35">
      <c r="A120" s="15">
        <v>11</v>
      </c>
      <c r="B120" s="15">
        <v>0</v>
      </c>
      <c r="C120" s="15">
        <v>2</v>
      </c>
      <c r="D120" s="15">
        <v>5.2900000000000003E-2</v>
      </c>
      <c r="E120" s="15">
        <v>41.11</v>
      </c>
      <c r="F120" s="23">
        <v>132800</v>
      </c>
      <c r="G120" s="15">
        <v>119</v>
      </c>
      <c r="H120" t="s">
        <v>140</v>
      </c>
      <c r="I120" s="27">
        <f t="shared" si="1"/>
        <v>-1</v>
      </c>
    </row>
    <row r="121" spans="1:9" x14ac:dyDescent="0.35">
      <c r="A121" s="15">
        <v>102</v>
      </c>
      <c r="B121" s="15">
        <v>36</v>
      </c>
      <c r="C121" s="15">
        <v>1</v>
      </c>
      <c r="D121" s="15">
        <v>2857</v>
      </c>
      <c r="E121" s="15">
        <v>7577</v>
      </c>
      <c r="F121" s="15">
        <v>0</v>
      </c>
      <c r="G121" s="15">
        <v>120</v>
      </c>
      <c r="H121" t="s">
        <v>141</v>
      </c>
      <c r="I121" s="27">
        <f t="shared" si="1"/>
        <v>-1</v>
      </c>
    </row>
    <row r="122" spans="1:9" x14ac:dyDescent="0.35">
      <c r="A122" s="15">
        <v>36</v>
      </c>
      <c r="B122" s="15">
        <v>34</v>
      </c>
      <c r="C122" s="15">
        <v>2</v>
      </c>
      <c r="D122" s="15">
        <v>5.7129999999999995E-4</v>
      </c>
      <c r="E122" s="15">
        <v>0.44400000000000001</v>
      </c>
      <c r="F122" s="23">
        <v>13800</v>
      </c>
      <c r="G122" s="15">
        <v>121</v>
      </c>
      <c r="H122" s="1" t="s">
        <v>142</v>
      </c>
      <c r="I122" s="27">
        <f t="shared" si="1"/>
        <v>-1</v>
      </c>
    </row>
    <row r="123" spans="1:9" x14ac:dyDescent="0.35">
      <c r="A123" s="15">
        <v>10</v>
      </c>
      <c r="B123" s="15">
        <v>0</v>
      </c>
      <c r="C123" s="15">
        <v>2</v>
      </c>
      <c r="D123" s="15">
        <v>5.2900000000000003E-2</v>
      </c>
      <c r="E123" s="15">
        <v>41.11</v>
      </c>
      <c r="F123" s="23">
        <v>132800</v>
      </c>
      <c r="G123" s="15">
        <v>122</v>
      </c>
      <c r="H123" s="1" t="s">
        <v>143</v>
      </c>
      <c r="I123" s="27">
        <f t="shared" si="1"/>
        <v>-1</v>
      </c>
    </row>
    <row r="124" spans="1:9" x14ac:dyDescent="0.35">
      <c r="A124" s="15">
        <v>103</v>
      </c>
      <c r="B124" s="15">
        <v>34</v>
      </c>
      <c r="C124" s="15">
        <v>1</v>
      </c>
      <c r="D124" s="15">
        <v>2857</v>
      </c>
      <c r="E124" s="15">
        <v>7577</v>
      </c>
      <c r="F124" s="15">
        <v>0</v>
      </c>
      <c r="G124" s="15">
        <v>123</v>
      </c>
      <c r="H124" s="1" t="s">
        <v>144</v>
      </c>
      <c r="I124" s="27">
        <f t="shared" si="1"/>
        <v>-1</v>
      </c>
    </row>
  </sheetData>
  <autoFilter ref="A1:H1" xr:uid="{771BC108-7087-49D1-BC33-943B282609DD}">
    <sortState xmlns:xlrd2="http://schemas.microsoft.com/office/spreadsheetml/2017/richdata2" ref="A2:H26">
      <sortCondition ref="A1"/>
    </sortState>
  </autoFilter>
  <phoneticPr fontId="4" type="noConversion"/>
  <conditionalFormatting sqref="C2:C20">
    <cfRule type="colorScale" priority="7">
      <colorScale>
        <cfvo type="min"/>
        <cfvo type="max"/>
        <color rgb="FFFFEF9C"/>
        <color rgb="FF63BE7B"/>
      </colorScale>
    </cfRule>
  </conditionalFormatting>
  <conditionalFormatting sqref="C2:C121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D22C-57F0-47DF-AB9D-C602EEAB1B95}">
  <dimension ref="A1:F100"/>
  <sheetViews>
    <sheetView workbookViewId="0">
      <selection activeCell="K25" sqref="K25"/>
    </sheetView>
  </sheetViews>
  <sheetFormatPr defaultRowHeight="14.5" x14ac:dyDescent="0.35"/>
  <sheetData>
    <row r="1" spans="1:6" x14ac:dyDescent="0.35">
      <c r="A1" s="9" t="s">
        <v>6</v>
      </c>
      <c r="B1" s="10" t="s">
        <v>7</v>
      </c>
      <c r="C1" s="10" t="s">
        <v>0</v>
      </c>
      <c r="D1" s="10" t="s">
        <v>8</v>
      </c>
      <c r="E1" s="10" t="s">
        <v>9</v>
      </c>
      <c r="F1" s="11" t="s">
        <v>10</v>
      </c>
    </row>
    <row r="2" spans="1:6" x14ac:dyDescent="0.35">
      <c r="A2" s="15">
        <v>0</v>
      </c>
      <c r="B2" s="15">
        <v>22</v>
      </c>
      <c r="C2" s="15">
        <v>1</v>
      </c>
      <c r="D2" s="15">
        <v>7082.63</v>
      </c>
      <c r="E2" s="15">
        <v>-25.944099999999999</v>
      </c>
      <c r="F2" s="15">
        <v>60</v>
      </c>
    </row>
    <row r="3" spans="1:6" x14ac:dyDescent="0.35">
      <c r="A3" s="15">
        <v>0</v>
      </c>
      <c r="B3" s="15">
        <v>23</v>
      </c>
      <c r="C3" s="15">
        <v>1</v>
      </c>
      <c r="D3" s="15">
        <v>7082.63</v>
      </c>
      <c r="E3" s="15">
        <v>-145.94399999999999</v>
      </c>
      <c r="F3" s="15">
        <v>60</v>
      </c>
    </row>
    <row r="4" spans="1:6" x14ac:dyDescent="0.35">
      <c r="A4" s="15">
        <v>0</v>
      </c>
      <c r="B4" s="15">
        <v>24</v>
      </c>
      <c r="C4" s="15">
        <v>1</v>
      </c>
      <c r="D4" s="15">
        <v>7082.63</v>
      </c>
      <c r="E4" s="15">
        <f>E2+120</f>
        <v>94.055900000000008</v>
      </c>
      <c r="F4" s="15">
        <v>60</v>
      </c>
    </row>
    <row r="5" spans="1:6" x14ac:dyDescent="0.35">
      <c r="A5" s="15">
        <v>0</v>
      </c>
      <c r="B5" s="15">
        <v>28</v>
      </c>
      <c r="C5" s="15">
        <v>1</v>
      </c>
      <c r="D5" s="15">
        <v>7765.18</v>
      </c>
      <c r="E5" s="15">
        <v>-8.7749000000000006</v>
      </c>
      <c r="F5" s="15">
        <v>60</v>
      </c>
    </row>
    <row r="6" spans="1:6" x14ac:dyDescent="0.35">
      <c r="A6" s="15">
        <v>0</v>
      </c>
      <c r="B6" s="15">
        <v>29</v>
      </c>
      <c r="C6" s="15">
        <v>1</v>
      </c>
      <c r="D6" s="15">
        <v>7765.18</v>
      </c>
      <c r="E6" s="15">
        <v>-128.77500000000001</v>
      </c>
      <c r="F6" s="15">
        <v>60</v>
      </c>
    </row>
    <row r="7" spans="1:6" x14ac:dyDescent="0.35">
      <c r="A7" s="15">
        <v>0</v>
      </c>
      <c r="B7" s="15">
        <v>30</v>
      </c>
      <c r="C7" s="15">
        <v>1</v>
      </c>
      <c r="D7" s="15">
        <v>7765.18</v>
      </c>
      <c r="E7" s="15">
        <f>E5+120</f>
        <v>111.2251</v>
      </c>
      <c r="F7" s="15">
        <v>60</v>
      </c>
    </row>
    <row r="8" spans="1:6" x14ac:dyDescent="0.35">
      <c r="A8" s="15">
        <v>0</v>
      </c>
      <c r="B8" s="15">
        <v>34</v>
      </c>
      <c r="C8" s="15">
        <v>1</v>
      </c>
      <c r="D8" s="15">
        <v>5292.98</v>
      </c>
      <c r="E8" s="15">
        <v>-18.255299999999998</v>
      </c>
      <c r="F8" s="15">
        <v>60</v>
      </c>
    </row>
    <row r="9" spans="1:6" x14ac:dyDescent="0.35">
      <c r="A9" s="15">
        <v>0</v>
      </c>
      <c r="B9" s="15">
        <v>35</v>
      </c>
      <c r="C9" s="15">
        <v>1</v>
      </c>
      <c r="D9" s="15">
        <v>5292.98</v>
      </c>
      <c r="E9" s="15">
        <v>-138.255</v>
      </c>
      <c r="F9" s="15">
        <v>60</v>
      </c>
    </row>
    <row r="10" spans="1:6" x14ac:dyDescent="0.35">
      <c r="A10" s="14">
        <v>0</v>
      </c>
      <c r="B10" s="15">
        <v>36</v>
      </c>
      <c r="C10" s="15">
        <v>1</v>
      </c>
      <c r="D10" s="15">
        <v>5292.98</v>
      </c>
      <c r="E10" s="15">
        <f>E8+120</f>
        <v>101.74469999999999</v>
      </c>
      <c r="F10" s="15">
        <v>60</v>
      </c>
    </row>
    <row r="11" spans="1:6" x14ac:dyDescent="0.35">
      <c r="A11" s="4"/>
      <c r="F11" s="5"/>
    </row>
    <row r="12" spans="1:6" x14ac:dyDescent="0.35">
      <c r="A12" s="4"/>
      <c r="F12" s="5"/>
    </row>
    <row r="13" spans="1:6" x14ac:dyDescent="0.35">
      <c r="A13" s="4"/>
      <c r="F13" s="5"/>
    </row>
    <row r="14" spans="1:6" x14ac:dyDescent="0.35">
      <c r="A14" s="4"/>
      <c r="F14" s="5"/>
    </row>
    <row r="15" spans="1:6" x14ac:dyDescent="0.35">
      <c r="A15" s="4"/>
      <c r="F15" s="5"/>
    </row>
    <row r="16" spans="1:6" x14ac:dyDescent="0.35">
      <c r="A16" s="4"/>
      <c r="F16" s="5"/>
    </row>
    <row r="17" spans="1:6" x14ac:dyDescent="0.35">
      <c r="A17" s="4"/>
      <c r="F17" s="5"/>
    </row>
    <row r="18" spans="1:6" x14ac:dyDescent="0.35">
      <c r="A18" s="4"/>
      <c r="F18" s="5"/>
    </row>
    <row r="19" spans="1:6" x14ac:dyDescent="0.35">
      <c r="A19" s="4"/>
      <c r="F19" s="5"/>
    </row>
    <row r="20" spans="1:6" x14ac:dyDescent="0.35">
      <c r="A20" s="4"/>
      <c r="F20" s="5"/>
    </row>
    <row r="21" spans="1:6" x14ac:dyDescent="0.35">
      <c r="A21" s="4"/>
      <c r="F21" s="5"/>
    </row>
    <row r="22" spans="1:6" x14ac:dyDescent="0.35">
      <c r="A22" s="4"/>
      <c r="F22" s="5"/>
    </row>
    <row r="23" spans="1:6" x14ac:dyDescent="0.35">
      <c r="A23" s="4"/>
      <c r="F23" s="5"/>
    </row>
    <row r="24" spans="1:6" x14ac:dyDescent="0.35">
      <c r="A24" s="4"/>
      <c r="F24" s="5"/>
    </row>
    <row r="25" spans="1:6" x14ac:dyDescent="0.35">
      <c r="A25" s="4"/>
      <c r="F25" s="5"/>
    </row>
    <row r="26" spans="1:6" x14ac:dyDescent="0.35">
      <c r="A26" s="4"/>
      <c r="F26" s="5"/>
    </row>
    <row r="27" spans="1:6" x14ac:dyDescent="0.35">
      <c r="A27" s="4"/>
      <c r="F27" s="5"/>
    </row>
    <row r="28" spans="1:6" x14ac:dyDescent="0.35">
      <c r="A28" s="4"/>
      <c r="F28" s="5"/>
    </row>
    <row r="29" spans="1:6" x14ac:dyDescent="0.35">
      <c r="A29" s="4"/>
      <c r="F29" s="5"/>
    </row>
    <row r="30" spans="1:6" x14ac:dyDescent="0.35">
      <c r="A30" s="4"/>
      <c r="F30" s="5"/>
    </row>
    <row r="31" spans="1:6" x14ac:dyDescent="0.35">
      <c r="A31" s="4"/>
      <c r="F31" s="5"/>
    </row>
    <row r="32" spans="1:6" x14ac:dyDescent="0.35">
      <c r="A32" s="4"/>
      <c r="F32" s="5"/>
    </row>
    <row r="33" spans="1:6" x14ac:dyDescent="0.35">
      <c r="A33" s="4"/>
      <c r="F33" s="5"/>
    </row>
    <row r="34" spans="1:6" x14ac:dyDescent="0.35">
      <c r="A34" s="4"/>
      <c r="F34" s="5"/>
    </row>
    <row r="35" spans="1:6" x14ac:dyDescent="0.35">
      <c r="A35" s="4"/>
      <c r="F35" s="5"/>
    </row>
    <row r="36" spans="1:6" x14ac:dyDescent="0.35">
      <c r="A36" s="4"/>
      <c r="F36" s="5"/>
    </row>
    <row r="37" spans="1:6" x14ac:dyDescent="0.35">
      <c r="A37" s="4"/>
      <c r="F37" s="5"/>
    </row>
    <row r="38" spans="1:6" x14ac:dyDescent="0.35">
      <c r="A38" s="4"/>
      <c r="F38" s="5"/>
    </row>
    <row r="39" spans="1:6" x14ac:dyDescent="0.35">
      <c r="A39" s="4"/>
      <c r="F39" s="5"/>
    </row>
    <row r="40" spans="1:6" x14ac:dyDescent="0.35">
      <c r="A40" s="4"/>
      <c r="F40" s="5"/>
    </row>
    <row r="41" spans="1:6" x14ac:dyDescent="0.35">
      <c r="A41" s="4"/>
      <c r="F41" s="5"/>
    </row>
    <row r="42" spans="1:6" x14ac:dyDescent="0.35">
      <c r="A42" s="4"/>
      <c r="F42" s="5"/>
    </row>
    <row r="43" spans="1:6" x14ac:dyDescent="0.35">
      <c r="A43" s="4"/>
      <c r="F43" s="5"/>
    </row>
    <row r="44" spans="1:6" x14ac:dyDescent="0.35">
      <c r="A44" s="4"/>
      <c r="F44" s="5"/>
    </row>
    <row r="45" spans="1:6" x14ac:dyDescent="0.35">
      <c r="A45" s="4"/>
      <c r="F45" s="5"/>
    </row>
    <row r="46" spans="1:6" x14ac:dyDescent="0.35">
      <c r="A46" s="4"/>
      <c r="F46" s="5"/>
    </row>
    <row r="47" spans="1:6" x14ac:dyDescent="0.35">
      <c r="A47" s="4"/>
      <c r="F47" s="5"/>
    </row>
    <row r="48" spans="1:6" x14ac:dyDescent="0.35">
      <c r="A48" s="4"/>
      <c r="F48" s="5"/>
    </row>
    <row r="49" spans="1:6" x14ac:dyDescent="0.35">
      <c r="A49" s="4"/>
      <c r="F49" s="5"/>
    </row>
    <row r="50" spans="1:6" x14ac:dyDescent="0.35">
      <c r="A50" s="4"/>
      <c r="F50" s="5"/>
    </row>
    <row r="51" spans="1:6" x14ac:dyDescent="0.35">
      <c r="A51" s="4"/>
      <c r="F51" s="5"/>
    </row>
    <row r="52" spans="1:6" x14ac:dyDescent="0.35">
      <c r="A52" s="4"/>
      <c r="F52" s="5"/>
    </row>
    <row r="53" spans="1:6" x14ac:dyDescent="0.35">
      <c r="A53" s="4"/>
      <c r="F53" s="5"/>
    </row>
    <row r="54" spans="1:6" x14ac:dyDescent="0.35">
      <c r="A54" s="4"/>
      <c r="F54" s="5"/>
    </row>
    <row r="55" spans="1:6" x14ac:dyDescent="0.35">
      <c r="A55" s="4"/>
      <c r="F55" s="5"/>
    </row>
    <row r="56" spans="1:6" x14ac:dyDescent="0.35">
      <c r="A56" s="4"/>
      <c r="F56" s="5"/>
    </row>
    <row r="57" spans="1:6" x14ac:dyDescent="0.35">
      <c r="A57" s="4"/>
      <c r="F57" s="5"/>
    </row>
    <row r="58" spans="1:6" x14ac:dyDescent="0.35">
      <c r="A58" s="4"/>
      <c r="F58" s="5"/>
    </row>
    <row r="59" spans="1:6" x14ac:dyDescent="0.35">
      <c r="A59" s="4"/>
      <c r="F59" s="5"/>
    </row>
    <row r="60" spans="1:6" x14ac:dyDescent="0.35">
      <c r="A60" s="4"/>
      <c r="F60" s="5"/>
    </row>
    <row r="61" spans="1:6" x14ac:dyDescent="0.35">
      <c r="A61" s="4"/>
      <c r="F61" s="5"/>
    </row>
    <row r="62" spans="1:6" x14ac:dyDescent="0.35">
      <c r="A62" s="4"/>
      <c r="F62" s="5"/>
    </row>
    <row r="63" spans="1:6" x14ac:dyDescent="0.35">
      <c r="A63" s="4"/>
      <c r="F63" s="5"/>
    </row>
    <row r="64" spans="1:6" x14ac:dyDescent="0.35">
      <c r="A64" s="4"/>
      <c r="F64" s="5"/>
    </row>
    <row r="65" spans="1:6" x14ac:dyDescent="0.35">
      <c r="A65" s="4"/>
      <c r="F65" s="5"/>
    </row>
    <row r="66" spans="1:6" x14ac:dyDescent="0.35">
      <c r="A66" s="4"/>
      <c r="F66" s="5"/>
    </row>
    <row r="67" spans="1:6" x14ac:dyDescent="0.35">
      <c r="A67" s="4"/>
      <c r="F67" s="5"/>
    </row>
    <row r="68" spans="1:6" x14ac:dyDescent="0.35">
      <c r="A68" s="4"/>
      <c r="F68" s="5"/>
    </row>
    <row r="69" spans="1:6" x14ac:dyDescent="0.35">
      <c r="A69" s="4"/>
      <c r="F69" s="5"/>
    </row>
    <row r="70" spans="1:6" x14ac:dyDescent="0.35">
      <c r="A70" s="4"/>
      <c r="F70" s="5"/>
    </row>
    <row r="71" spans="1:6" x14ac:dyDescent="0.35">
      <c r="A71" s="4"/>
      <c r="F71" s="5"/>
    </row>
    <row r="72" spans="1:6" x14ac:dyDescent="0.35">
      <c r="A72" s="4"/>
      <c r="F72" s="5"/>
    </row>
    <row r="73" spans="1:6" x14ac:dyDescent="0.35">
      <c r="A73" s="4"/>
      <c r="F73" s="5"/>
    </row>
    <row r="74" spans="1:6" x14ac:dyDescent="0.35">
      <c r="A74" s="4"/>
      <c r="F74" s="5"/>
    </row>
    <row r="75" spans="1:6" x14ac:dyDescent="0.35">
      <c r="A75" s="4"/>
      <c r="F75" s="5"/>
    </row>
    <row r="76" spans="1:6" x14ac:dyDescent="0.35">
      <c r="A76" s="4"/>
      <c r="F76" s="5"/>
    </row>
    <row r="77" spans="1:6" x14ac:dyDescent="0.35">
      <c r="A77" s="4"/>
      <c r="F77" s="5"/>
    </row>
    <row r="78" spans="1:6" x14ac:dyDescent="0.35">
      <c r="A78" s="4"/>
      <c r="F78" s="5"/>
    </row>
    <row r="79" spans="1:6" x14ac:dyDescent="0.35">
      <c r="A79" s="4"/>
      <c r="F79" s="5"/>
    </row>
    <row r="80" spans="1:6" x14ac:dyDescent="0.35">
      <c r="A80" s="4"/>
      <c r="F80" s="5"/>
    </row>
    <row r="81" spans="1:6" x14ac:dyDescent="0.35">
      <c r="A81" s="4"/>
      <c r="F81" s="5"/>
    </row>
    <row r="82" spans="1:6" x14ac:dyDescent="0.35">
      <c r="A82" s="4"/>
      <c r="F82" s="5"/>
    </row>
    <row r="83" spans="1:6" x14ac:dyDescent="0.35">
      <c r="A83" s="4"/>
      <c r="F83" s="5"/>
    </row>
    <row r="84" spans="1:6" x14ac:dyDescent="0.35">
      <c r="A84" s="4"/>
      <c r="F84" s="5"/>
    </row>
    <row r="85" spans="1:6" x14ac:dyDescent="0.35">
      <c r="A85" s="4"/>
      <c r="F85" s="5"/>
    </row>
    <row r="86" spans="1:6" x14ac:dyDescent="0.35">
      <c r="A86" s="4"/>
      <c r="F86" s="5"/>
    </row>
    <row r="87" spans="1:6" x14ac:dyDescent="0.35">
      <c r="A87" s="4"/>
      <c r="F87" s="5"/>
    </row>
    <row r="88" spans="1:6" x14ac:dyDescent="0.35">
      <c r="A88" s="4"/>
      <c r="F88" s="5"/>
    </row>
    <row r="89" spans="1:6" x14ac:dyDescent="0.35">
      <c r="A89" s="4"/>
      <c r="F89" s="5"/>
    </row>
    <row r="90" spans="1:6" x14ac:dyDescent="0.35">
      <c r="A90" s="4"/>
      <c r="F90" s="5"/>
    </row>
    <row r="91" spans="1:6" x14ac:dyDescent="0.35">
      <c r="A91" s="4"/>
      <c r="F91" s="5"/>
    </row>
    <row r="92" spans="1:6" x14ac:dyDescent="0.35">
      <c r="A92" s="4"/>
      <c r="F92" s="5"/>
    </row>
    <row r="93" spans="1:6" x14ac:dyDescent="0.35">
      <c r="A93" s="4"/>
      <c r="F93" s="5"/>
    </row>
    <row r="94" spans="1:6" x14ac:dyDescent="0.35">
      <c r="A94" s="4"/>
      <c r="F94" s="5"/>
    </row>
    <row r="95" spans="1:6" x14ac:dyDescent="0.35">
      <c r="A95" s="4"/>
      <c r="F95" s="5"/>
    </row>
    <row r="96" spans="1:6" x14ac:dyDescent="0.35">
      <c r="A96" s="4"/>
      <c r="F96" s="5"/>
    </row>
    <row r="97" spans="1:6" x14ac:dyDescent="0.35">
      <c r="A97" s="4"/>
      <c r="F97" s="5"/>
    </row>
    <row r="98" spans="1:6" x14ac:dyDescent="0.35">
      <c r="A98" s="4"/>
      <c r="F98" s="5"/>
    </row>
    <row r="99" spans="1:6" x14ac:dyDescent="0.35">
      <c r="A99" s="4"/>
      <c r="F99" s="5"/>
    </row>
    <row r="100" spans="1:6" x14ac:dyDescent="0.35">
      <c r="A100" s="6"/>
      <c r="B100" s="7"/>
      <c r="C100" s="7"/>
      <c r="D100" s="7"/>
      <c r="E100" s="7"/>
      <c r="F100" s="8"/>
    </row>
  </sheetData>
  <dataValidations count="1">
    <dataValidation type="list" allowBlank="1" showInputMessage="1" showErrorMessage="1" sqref="A10:B100" xr:uid="{D1B454D3-4440-4305-AC94-CE68164DE4EE}">
      <formula1>NODES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19F8-1F4B-48CA-914F-BE48E99763D4}">
  <dimension ref="A1:I40"/>
  <sheetViews>
    <sheetView workbookViewId="0">
      <selection activeCell="E19" sqref="E19"/>
    </sheetView>
  </sheetViews>
  <sheetFormatPr defaultRowHeight="14.5" x14ac:dyDescent="0.35"/>
  <cols>
    <col min="5" max="5" width="16.7265625" style="1" customWidth="1"/>
    <col min="6" max="6" width="9.1796875" customWidth="1"/>
    <col min="9" max="9" width="16.7265625" customWidth="1"/>
  </cols>
  <sheetData>
    <row r="1" spans="1:9" ht="15" thickBot="1" x14ac:dyDescent="0.4">
      <c r="A1" s="31" t="s">
        <v>15</v>
      </c>
      <c r="B1" s="32" t="s">
        <v>6</v>
      </c>
      <c r="C1" s="32" t="s">
        <v>7</v>
      </c>
      <c r="D1" s="32" t="s">
        <v>18</v>
      </c>
      <c r="E1" s="47" t="s">
        <v>145</v>
      </c>
      <c r="F1" s="37" t="s">
        <v>15</v>
      </c>
      <c r="G1" s="37" t="s">
        <v>17</v>
      </c>
      <c r="H1" s="37" t="s">
        <v>18</v>
      </c>
      <c r="I1" s="48" t="s">
        <v>146</v>
      </c>
    </row>
    <row r="2" spans="1:9" x14ac:dyDescent="0.35">
      <c r="A2" s="41" t="s">
        <v>16</v>
      </c>
      <c r="B2" s="42">
        <v>22</v>
      </c>
      <c r="C2" s="42">
        <v>0</v>
      </c>
      <c r="D2" s="42" t="str">
        <f t="shared" ref="D2:D24" si="0">IF(A2="U",_xlfn.CONCAT("U_n"&amp;B2&amp;"_"&amp;C2),"")</f>
        <v>U_n22_0</v>
      </c>
      <c r="E2" s="30" t="s">
        <v>37</v>
      </c>
      <c r="F2" s="38"/>
      <c r="G2" s="38"/>
      <c r="H2" s="38"/>
      <c r="I2" s="33"/>
    </row>
    <row r="3" spans="1:9" x14ac:dyDescent="0.35">
      <c r="A3" s="41" t="s">
        <v>16</v>
      </c>
      <c r="B3" s="42">
        <v>23</v>
      </c>
      <c r="C3" s="42">
        <v>0</v>
      </c>
      <c r="D3" s="42" t="str">
        <f t="shared" si="0"/>
        <v>U_n23_0</v>
      </c>
      <c r="E3" s="30" t="s">
        <v>38</v>
      </c>
      <c r="F3" s="38"/>
      <c r="G3" s="38"/>
      <c r="H3" s="38"/>
      <c r="I3" s="33"/>
    </row>
    <row r="4" spans="1:9" x14ac:dyDescent="0.35">
      <c r="A4" s="43" t="s">
        <v>16</v>
      </c>
      <c r="B4" s="44">
        <v>24</v>
      </c>
      <c r="C4" s="42">
        <v>0</v>
      </c>
      <c r="D4" s="42" t="str">
        <f t="shared" si="0"/>
        <v>U_n24_0</v>
      </c>
      <c r="E4" s="30" t="s">
        <v>39</v>
      </c>
      <c r="F4" s="38"/>
      <c r="G4" s="38"/>
      <c r="H4" s="38"/>
      <c r="I4" s="33"/>
    </row>
    <row r="5" spans="1:9" x14ac:dyDescent="0.35">
      <c r="A5" s="43" t="s">
        <v>16</v>
      </c>
      <c r="B5" s="44">
        <v>28</v>
      </c>
      <c r="C5" s="42">
        <v>0</v>
      </c>
      <c r="D5" s="42" t="str">
        <f t="shared" ref="D5:D10" si="1">IF(A5="U",_xlfn.CONCAT("U_n"&amp;B5&amp;"_"&amp;C5),"")</f>
        <v>U_n28_0</v>
      </c>
      <c r="E5" s="30" t="s">
        <v>40</v>
      </c>
      <c r="F5" s="38"/>
      <c r="G5" s="38"/>
      <c r="H5" s="38"/>
      <c r="I5" s="33"/>
    </row>
    <row r="6" spans="1:9" x14ac:dyDescent="0.35">
      <c r="A6" s="43" t="s">
        <v>16</v>
      </c>
      <c r="B6" s="44">
        <v>29</v>
      </c>
      <c r="C6" s="42">
        <v>0</v>
      </c>
      <c r="D6" s="42" t="str">
        <f t="shared" si="1"/>
        <v>U_n29_0</v>
      </c>
      <c r="E6" s="30" t="s">
        <v>41</v>
      </c>
      <c r="F6" s="38"/>
      <c r="G6" s="38"/>
      <c r="H6" s="38" t="str">
        <f t="shared" ref="H6:H31" si="2">IF(F6="I",_xlfn.CONCAT("I_b"&amp;G6),"")</f>
        <v/>
      </c>
      <c r="I6" s="33"/>
    </row>
    <row r="7" spans="1:9" x14ac:dyDescent="0.35">
      <c r="A7" s="43" t="s">
        <v>16</v>
      </c>
      <c r="B7" s="44">
        <v>30</v>
      </c>
      <c r="C7" s="42">
        <v>0</v>
      </c>
      <c r="D7" s="42" t="str">
        <f t="shared" si="1"/>
        <v>U_n30_0</v>
      </c>
      <c r="E7" s="30" t="s">
        <v>42</v>
      </c>
      <c r="F7" s="38"/>
      <c r="G7" s="38"/>
      <c r="H7" s="38" t="str">
        <f t="shared" si="2"/>
        <v/>
      </c>
      <c r="I7" s="33"/>
    </row>
    <row r="8" spans="1:9" x14ac:dyDescent="0.35">
      <c r="A8" s="43" t="s">
        <v>16</v>
      </c>
      <c r="B8" s="44">
        <v>34</v>
      </c>
      <c r="C8" s="42">
        <v>0</v>
      </c>
      <c r="D8" s="42" t="str">
        <f t="shared" si="1"/>
        <v>U_n34_0</v>
      </c>
      <c r="E8" s="30" t="s">
        <v>43</v>
      </c>
      <c r="F8" s="38"/>
      <c r="G8" s="38"/>
      <c r="H8" s="38" t="str">
        <f t="shared" si="2"/>
        <v/>
      </c>
      <c r="I8" s="33"/>
    </row>
    <row r="9" spans="1:9" x14ac:dyDescent="0.35">
      <c r="A9" s="41" t="s">
        <v>16</v>
      </c>
      <c r="B9" s="42">
        <v>35</v>
      </c>
      <c r="C9" s="42">
        <v>0</v>
      </c>
      <c r="D9" s="42" t="str">
        <f t="shared" si="1"/>
        <v>U_n35_0</v>
      </c>
      <c r="E9" s="30" t="s">
        <v>44</v>
      </c>
      <c r="F9" s="38"/>
      <c r="G9" s="38"/>
      <c r="H9" s="38" t="str">
        <f t="shared" si="2"/>
        <v/>
      </c>
      <c r="I9" s="33"/>
    </row>
    <row r="10" spans="1:9" x14ac:dyDescent="0.35">
      <c r="A10" s="41" t="s">
        <v>16</v>
      </c>
      <c r="B10" s="42">
        <v>36</v>
      </c>
      <c r="C10" s="42">
        <v>0</v>
      </c>
      <c r="D10" s="42" t="str">
        <f t="shared" si="1"/>
        <v>U_n36_0</v>
      </c>
      <c r="E10" s="30" t="s">
        <v>45</v>
      </c>
      <c r="F10" s="38"/>
      <c r="G10" s="38"/>
      <c r="H10" s="38" t="str">
        <f t="shared" si="2"/>
        <v/>
      </c>
      <c r="I10" s="33"/>
    </row>
    <row r="11" spans="1:9" x14ac:dyDescent="0.35">
      <c r="A11" s="41"/>
      <c r="B11" s="42"/>
      <c r="C11" s="42"/>
      <c r="D11" s="42" t="str">
        <f t="shared" si="0"/>
        <v/>
      </c>
      <c r="E11" s="30"/>
      <c r="F11" s="38"/>
      <c r="G11" s="38"/>
      <c r="H11" s="38" t="str">
        <f t="shared" si="2"/>
        <v/>
      </c>
      <c r="I11" s="33"/>
    </row>
    <row r="12" spans="1:9" x14ac:dyDescent="0.35">
      <c r="A12" s="41"/>
      <c r="B12" s="42"/>
      <c r="C12" s="42"/>
      <c r="D12" s="42" t="str">
        <f t="shared" si="0"/>
        <v/>
      </c>
      <c r="E12" s="30"/>
      <c r="F12" s="38"/>
      <c r="G12" s="38"/>
      <c r="H12" s="38" t="str">
        <f t="shared" si="2"/>
        <v/>
      </c>
      <c r="I12" s="33"/>
    </row>
    <row r="13" spans="1:9" x14ac:dyDescent="0.35">
      <c r="A13" s="41"/>
      <c r="B13" s="42"/>
      <c r="C13" s="42"/>
      <c r="D13" s="42" t="str">
        <f t="shared" si="0"/>
        <v/>
      </c>
      <c r="E13" s="30"/>
      <c r="F13" s="38"/>
      <c r="G13" s="38"/>
      <c r="H13" s="38" t="str">
        <f t="shared" si="2"/>
        <v/>
      </c>
      <c r="I13" s="33"/>
    </row>
    <row r="14" spans="1:9" x14ac:dyDescent="0.35">
      <c r="A14" s="41"/>
      <c r="B14" s="42"/>
      <c r="C14" s="42"/>
      <c r="D14" s="42" t="str">
        <f t="shared" si="0"/>
        <v/>
      </c>
      <c r="E14" s="30"/>
      <c r="F14" s="38"/>
      <c r="G14" s="38"/>
      <c r="H14" s="38" t="str">
        <f t="shared" si="2"/>
        <v/>
      </c>
      <c r="I14" s="33"/>
    </row>
    <row r="15" spans="1:9" x14ac:dyDescent="0.35">
      <c r="A15" s="41"/>
      <c r="B15" s="42"/>
      <c r="C15" s="42"/>
      <c r="D15" s="42" t="str">
        <f t="shared" si="0"/>
        <v/>
      </c>
      <c r="E15" s="30"/>
      <c r="F15" s="38"/>
      <c r="G15" s="38"/>
      <c r="H15" s="38" t="str">
        <f t="shared" si="2"/>
        <v/>
      </c>
      <c r="I15" s="33"/>
    </row>
    <row r="16" spans="1:9" x14ac:dyDescent="0.35">
      <c r="A16" s="41"/>
      <c r="B16" s="42"/>
      <c r="C16" s="42"/>
      <c r="D16" s="42" t="str">
        <f t="shared" si="0"/>
        <v/>
      </c>
      <c r="E16" s="30"/>
      <c r="F16" s="38"/>
      <c r="G16" s="38"/>
      <c r="H16" s="38" t="str">
        <f t="shared" si="2"/>
        <v/>
      </c>
      <c r="I16" s="33"/>
    </row>
    <row r="17" spans="1:9" x14ac:dyDescent="0.35">
      <c r="A17" s="41"/>
      <c r="B17" s="42"/>
      <c r="C17" s="42"/>
      <c r="D17" s="42" t="str">
        <f t="shared" si="0"/>
        <v/>
      </c>
      <c r="E17" s="30"/>
      <c r="F17" s="38"/>
      <c r="G17" s="38"/>
      <c r="H17" s="38" t="str">
        <f t="shared" si="2"/>
        <v/>
      </c>
      <c r="I17" s="33"/>
    </row>
    <row r="18" spans="1:9" x14ac:dyDescent="0.35">
      <c r="A18" s="41"/>
      <c r="B18" s="42"/>
      <c r="C18" s="42"/>
      <c r="D18" s="42" t="str">
        <f t="shared" si="0"/>
        <v/>
      </c>
      <c r="E18" s="30"/>
      <c r="F18" s="38"/>
      <c r="G18" s="38"/>
      <c r="H18" s="38" t="str">
        <f t="shared" si="2"/>
        <v/>
      </c>
      <c r="I18" s="33"/>
    </row>
    <row r="19" spans="1:9" x14ac:dyDescent="0.35">
      <c r="A19" s="41"/>
      <c r="B19" s="42"/>
      <c r="C19" s="42"/>
      <c r="D19" s="42" t="str">
        <f t="shared" si="0"/>
        <v/>
      </c>
      <c r="E19" s="30"/>
      <c r="F19" s="38"/>
      <c r="G19" s="38"/>
      <c r="H19" s="38" t="str">
        <f t="shared" si="2"/>
        <v/>
      </c>
      <c r="I19" s="33"/>
    </row>
    <row r="20" spans="1:9" x14ac:dyDescent="0.35">
      <c r="A20" s="41"/>
      <c r="B20" s="42"/>
      <c r="C20" s="42"/>
      <c r="D20" s="42" t="str">
        <f t="shared" si="0"/>
        <v/>
      </c>
      <c r="E20" s="30"/>
      <c r="F20" s="38"/>
      <c r="G20" s="38"/>
      <c r="H20" s="38" t="str">
        <f t="shared" si="2"/>
        <v/>
      </c>
      <c r="I20" s="33"/>
    </row>
    <row r="21" spans="1:9" x14ac:dyDescent="0.35">
      <c r="A21" s="41"/>
      <c r="B21" s="42"/>
      <c r="C21" s="42"/>
      <c r="D21" s="42" t="str">
        <f t="shared" si="0"/>
        <v/>
      </c>
      <c r="E21" s="30"/>
      <c r="F21" s="38"/>
      <c r="G21" s="38"/>
      <c r="H21" s="38" t="str">
        <f t="shared" si="2"/>
        <v/>
      </c>
      <c r="I21" s="33"/>
    </row>
    <row r="22" spans="1:9" x14ac:dyDescent="0.35">
      <c r="A22" s="41"/>
      <c r="B22" s="42"/>
      <c r="C22" s="42"/>
      <c r="D22" s="42" t="str">
        <f t="shared" si="0"/>
        <v/>
      </c>
      <c r="E22" s="30"/>
      <c r="F22" s="38"/>
      <c r="G22" s="38"/>
      <c r="H22" s="38" t="str">
        <f t="shared" si="2"/>
        <v/>
      </c>
      <c r="I22" s="33"/>
    </row>
    <row r="23" spans="1:9" x14ac:dyDescent="0.35">
      <c r="A23" s="41"/>
      <c r="B23" s="42"/>
      <c r="C23" s="42"/>
      <c r="D23" s="42" t="str">
        <f t="shared" si="0"/>
        <v/>
      </c>
      <c r="E23" s="30"/>
      <c r="F23" s="38"/>
      <c r="G23" s="38"/>
      <c r="H23" s="38" t="str">
        <f t="shared" si="2"/>
        <v/>
      </c>
      <c r="I23" s="33"/>
    </row>
    <row r="24" spans="1:9" x14ac:dyDescent="0.35">
      <c r="A24" s="41"/>
      <c r="B24" s="42"/>
      <c r="C24" s="42"/>
      <c r="D24" s="42" t="str">
        <f t="shared" si="0"/>
        <v/>
      </c>
      <c r="E24" s="30"/>
      <c r="F24" s="38"/>
      <c r="G24" s="38"/>
      <c r="H24" s="38" t="str">
        <f t="shared" si="2"/>
        <v/>
      </c>
      <c r="I24" s="33"/>
    </row>
    <row r="25" spans="1:9" x14ac:dyDescent="0.35">
      <c r="A25" s="41"/>
      <c r="B25" s="42"/>
      <c r="C25" s="42"/>
      <c r="D25" s="42" t="str">
        <f t="shared" ref="D25:D26" si="3">IF(A25="U",_xlfn.CONCAT("U_n"&amp;B25&amp;"_"&amp;C25),"")</f>
        <v/>
      </c>
      <c r="E25" s="30"/>
      <c r="F25" s="38"/>
      <c r="G25" s="38"/>
      <c r="H25" s="38" t="str">
        <f t="shared" si="2"/>
        <v/>
      </c>
      <c r="I25" s="33"/>
    </row>
    <row r="26" spans="1:9" x14ac:dyDescent="0.35">
      <c r="A26" s="41"/>
      <c r="B26" s="42"/>
      <c r="C26" s="42"/>
      <c r="D26" s="42" t="str">
        <f t="shared" si="3"/>
        <v/>
      </c>
      <c r="E26" s="30"/>
      <c r="F26" s="38"/>
      <c r="G26" s="38"/>
      <c r="H26" s="38" t="str">
        <f t="shared" si="2"/>
        <v/>
      </c>
      <c r="I26" s="33"/>
    </row>
    <row r="27" spans="1:9" x14ac:dyDescent="0.35">
      <c r="A27" s="41"/>
      <c r="B27" s="42"/>
      <c r="C27" s="42"/>
      <c r="D27" s="42"/>
      <c r="E27" s="30"/>
      <c r="F27" s="38"/>
      <c r="G27" s="38"/>
      <c r="H27" s="38" t="str">
        <f t="shared" si="2"/>
        <v/>
      </c>
      <c r="I27" s="33"/>
    </row>
    <row r="28" spans="1:9" x14ac:dyDescent="0.35">
      <c r="A28" s="41"/>
      <c r="B28" s="42"/>
      <c r="C28" s="42"/>
      <c r="D28" s="42"/>
      <c r="E28" s="30"/>
      <c r="F28" s="38"/>
      <c r="G28" s="38"/>
      <c r="H28" s="38" t="str">
        <f t="shared" si="2"/>
        <v/>
      </c>
      <c r="I28" s="33"/>
    </row>
    <row r="29" spans="1:9" x14ac:dyDescent="0.35">
      <c r="A29" s="41"/>
      <c r="B29" s="42"/>
      <c r="C29" s="42"/>
      <c r="D29" s="42"/>
      <c r="E29" s="30"/>
      <c r="F29" s="38"/>
      <c r="G29" s="38"/>
      <c r="H29" s="38" t="str">
        <f t="shared" si="2"/>
        <v/>
      </c>
      <c r="I29" s="33"/>
    </row>
    <row r="30" spans="1:9" x14ac:dyDescent="0.35">
      <c r="A30" s="41"/>
      <c r="B30" s="42"/>
      <c r="C30" s="42"/>
      <c r="D30" s="42"/>
      <c r="E30" s="30"/>
      <c r="F30" s="38"/>
      <c r="G30" s="38"/>
      <c r="H30" s="38" t="str">
        <f t="shared" si="2"/>
        <v/>
      </c>
      <c r="I30" s="33"/>
    </row>
    <row r="31" spans="1:9" x14ac:dyDescent="0.35">
      <c r="A31" s="41"/>
      <c r="B31" s="42"/>
      <c r="C31" s="42"/>
      <c r="D31" s="42"/>
      <c r="E31" s="30"/>
      <c r="F31" s="38"/>
      <c r="G31" s="38"/>
      <c r="H31" s="38" t="str">
        <f t="shared" si="2"/>
        <v/>
      </c>
      <c r="I31" s="33"/>
    </row>
    <row r="32" spans="1:9" x14ac:dyDescent="0.35">
      <c r="A32" s="41"/>
      <c r="B32" s="42"/>
      <c r="C32" s="42"/>
      <c r="D32" s="42"/>
      <c r="E32" s="30"/>
      <c r="F32" s="38"/>
      <c r="G32" s="38"/>
      <c r="H32" s="38" t="str">
        <f>IF(F32="I",_xlfn.CONCAT("I_b"&amp;G32),"")</f>
        <v/>
      </c>
      <c r="I32" s="33"/>
    </row>
    <row r="33" spans="1:9" x14ac:dyDescent="0.35">
      <c r="A33" s="45"/>
      <c r="B33" s="46"/>
      <c r="C33" s="46"/>
      <c r="D33" s="46"/>
      <c r="E33" s="30"/>
      <c r="F33" s="39"/>
      <c r="G33" s="39"/>
      <c r="H33" s="39"/>
      <c r="I33" s="33"/>
    </row>
    <row r="34" spans="1:9" x14ac:dyDescent="0.35">
      <c r="A34" s="45"/>
      <c r="B34" s="46"/>
      <c r="C34" s="46"/>
      <c r="D34" s="46"/>
      <c r="E34" s="30"/>
      <c r="F34" s="39"/>
      <c r="G34" s="39"/>
      <c r="H34" s="39"/>
      <c r="I34" s="33"/>
    </row>
    <row r="35" spans="1:9" x14ac:dyDescent="0.35">
      <c r="A35" s="45"/>
      <c r="B35" s="46"/>
      <c r="C35" s="46"/>
      <c r="D35" s="46"/>
      <c r="E35" s="30"/>
      <c r="F35" s="39"/>
      <c r="G35" s="39"/>
      <c r="H35" s="39"/>
      <c r="I35" s="33"/>
    </row>
    <row r="36" spans="1:9" x14ac:dyDescent="0.35">
      <c r="A36" s="45"/>
      <c r="B36" s="46"/>
      <c r="C36" s="46"/>
      <c r="D36" s="46"/>
      <c r="E36" s="30"/>
      <c r="F36" s="39"/>
      <c r="G36" s="39"/>
      <c r="H36" s="39"/>
      <c r="I36" s="33"/>
    </row>
    <row r="37" spans="1:9" x14ac:dyDescent="0.35">
      <c r="A37" s="45"/>
      <c r="B37" s="46"/>
      <c r="C37" s="46"/>
      <c r="D37" s="46"/>
      <c r="E37" s="30"/>
      <c r="F37" s="39"/>
      <c r="G37" s="39"/>
      <c r="H37" s="39"/>
      <c r="I37" s="33"/>
    </row>
    <row r="38" spans="1:9" x14ac:dyDescent="0.35">
      <c r="A38" s="45"/>
      <c r="B38" s="46"/>
      <c r="C38" s="46"/>
      <c r="D38" s="46"/>
      <c r="E38" s="30"/>
      <c r="F38" s="39"/>
      <c r="G38" s="39"/>
      <c r="H38" s="39"/>
      <c r="I38" s="33"/>
    </row>
    <row r="39" spans="1:9" x14ac:dyDescent="0.35">
      <c r="A39" s="45"/>
      <c r="B39" s="46"/>
      <c r="C39" s="46"/>
      <c r="D39" s="46"/>
      <c r="E39" s="30"/>
      <c r="F39" s="39"/>
      <c r="G39" s="39"/>
      <c r="H39" s="39"/>
      <c r="I39" s="33"/>
    </row>
    <row r="40" spans="1:9" ht="15" thickBot="1" x14ac:dyDescent="0.4">
      <c r="A40" s="34"/>
      <c r="B40" s="35"/>
      <c r="C40" s="35"/>
      <c r="D40" s="35"/>
      <c r="E40" s="13"/>
      <c r="F40" s="40"/>
      <c r="G40" s="40"/>
      <c r="H40" s="40"/>
      <c r="I40" s="36"/>
    </row>
  </sheetData>
  <dataValidations count="1">
    <dataValidation type="list" allowBlank="1" showInputMessage="1" showErrorMessage="1" sqref="B11:C25" xr:uid="{88F015CC-A8C7-444B-9614-CBB951902006}">
      <formula1>NODES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39D979-E574-4DAF-AE7B-FDF34F9B51D2}">
          <x14:formula1>
            <xm:f>RLC!$H$20:$H$85</xm:f>
          </x14:formula1>
          <xm:sqref>G11:G32</xm:sqref>
        </x14:dataValidation>
        <x14:dataValidation type="list" allowBlank="1" showInputMessage="1" showErrorMessage="1" xr:uid="{511CABA5-229D-4082-8530-6C2D179C9433}">
          <x14:formula1>
            <xm:f>RLC!$H$2:$H$85</xm:f>
          </x14:formula1>
          <xm:sqref>G2:G10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6408-4728-4305-994F-02DBFF7C39BB}">
  <dimension ref="A1:G3"/>
  <sheetViews>
    <sheetView workbookViewId="0">
      <selection sqref="A1:G1"/>
    </sheetView>
  </sheetViews>
  <sheetFormatPr defaultRowHeight="14.5" x14ac:dyDescent="0.35"/>
  <sheetData>
    <row r="1" spans="1:7" x14ac:dyDescent="0.35">
      <c r="A1" s="2" t="s">
        <v>6</v>
      </c>
      <c r="B1" s="2" t="s">
        <v>7</v>
      </c>
      <c r="C1" s="2" t="s">
        <v>11</v>
      </c>
      <c r="D1" s="2" t="s">
        <v>2</v>
      </c>
      <c r="E1" s="2" t="s">
        <v>12</v>
      </c>
      <c r="F1" s="2" t="s">
        <v>13</v>
      </c>
      <c r="G1" s="2" t="s">
        <v>14</v>
      </c>
    </row>
    <row r="3" spans="1:7" x14ac:dyDescent="0.35">
      <c r="A3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0565-97F6-4D78-B1C6-59EA2C85C432}">
  <dimension ref="D8:P127"/>
  <sheetViews>
    <sheetView topLeftCell="A88" workbookViewId="0">
      <selection activeCell="K8" sqref="K8:K127"/>
    </sheetView>
  </sheetViews>
  <sheetFormatPr defaultRowHeight="14.5" x14ac:dyDescent="0.35"/>
  <cols>
    <col min="13" max="13" width="22.54296875" customWidth="1"/>
  </cols>
  <sheetData>
    <row r="8" spans="4:16" x14ac:dyDescent="0.35">
      <c r="D8">
        <v>5</v>
      </c>
      <c r="E8">
        <v>0</v>
      </c>
      <c r="F8" t="s">
        <v>20</v>
      </c>
      <c r="G8">
        <v>297.7</v>
      </c>
      <c r="H8">
        <v>315.89999999999998</v>
      </c>
      <c r="I8">
        <v>0</v>
      </c>
      <c r="J8">
        <v>1</v>
      </c>
      <c r="K8" t="s">
        <v>25</v>
      </c>
    </row>
    <row r="9" spans="4:16" x14ac:dyDescent="0.35">
      <c r="D9">
        <v>2</v>
      </c>
      <c r="E9">
        <v>0</v>
      </c>
      <c r="F9" t="s">
        <v>20</v>
      </c>
      <c r="G9">
        <v>297.7</v>
      </c>
      <c r="H9">
        <v>315.89999999999998</v>
      </c>
      <c r="I9">
        <v>0</v>
      </c>
      <c r="J9">
        <v>2</v>
      </c>
      <c r="K9" t="s">
        <v>26</v>
      </c>
    </row>
    <row r="10" spans="4:16" x14ac:dyDescent="0.35">
      <c r="D10">
        <v>1</v>
      </c>
      <c r="E10">
        <v>0</v>
      </c>
      <c r="F10" t="s">
        <v>20</v>
      </c>
      <c r="G10">
        <v>297.7</v>
      </c>
      <c r="H10">
        <v>315.89999999999998</v>
      </c>
      <c r="I10">
        <v>0</v>
      </c>
      <c r="J10">
        <v>3</v>
      </c>
      <c r="K10" t="s">
        <v>27</v>
      </c>
    </row>
    <row r="11" spans="4:16" x14ac:dyDescent="0.35">
      <c r="D11">
        <v>26</v>
      </c>
      <c r="E11">
        <v>0</v>
      </c>
      <c r="F11" t="s">
        <v>20</v>
      </c>
      <c r="G11">
        <v>887.8</v>
      </c>
      <c r="H11">
        <v>0</v>
      </c>
      <c r="I11">
        <v>0</v>
      </c>
      <c r="J11">
        <v>4</v>
      </c>
      <c r="K11" t="s">
        <v>28</v>
      </c>
      <c r="P11" s="17"/>
    </row>
    <row r="12" spans="4:16" x14ac:dyDescent="0.35">
      <c r="D12">
        <v>25</v>
      </c>
      <c r="E12">
        <v>0</v>
      </c>
      <c r="F12" t="s">
        <v>20</v>
      </c>
      <c r="G12">
        <v>887.8</v>
      </c>
      <c r="H12">
        <v>0</v>
      </c>
      <c r="I12">
        <v>0</v>
      </c>
      <c r="J12">
        <v>5</v>
      </c>
      <c r="K12" t="s">
        <v>29</v>
      </c>
      <c r="P12" s="17"/>
    </row>
    <row r="13" spans="4:16" x14ac:dyDescent="0.35">
      <c r="D13">
        <v>27</v>
      </c>
      <c r="E13">
        <v>0</v>
      </c>
      <c r="F13" t="s">
        <v>20</v>
      </c>
      <c r="G13">
        <v>887.8</v>
      </c>
      <c r="H13">
        <v>0</v>
      </c>
      <c r="I13">
        <v>0</v>
      </c>
      <c r="J13">
        <v>6</v>
      </c>
      <c r="K13" t="s">
        <v>30</v>
      </c>
      <c r="P13" s="17"/>
    </row>
    <row r="14" spans="4:16" x14ac:dyDescent="0.35">
      <c r="D14">
        <v>26</v>
      </c>
      <c r="E14">
        <v>0</v>
      </c>
      <c r="F14" t="s">
        <v>20</v>
      </c>
      <c r="G14">
        <v>443.9</v>
      </c>
      <c r="H14">
        <v>392.5</v>
      </c>
      <c r="I14">
        <v>0</v>
      </c>
      <c r="J14">
        <v>7</v>
      </c>
      <c r="K14" t="s">
        <v>31</v>
      </c>
    </row>
    <row r="15" spans="4:16" x14ac:dyDescent="0.35">
      <c r="D15">
        <v>25</v>
      </c>
      <c r="E15">
        <v>0</v>
      </c>
      <c r="F15" t="s">
        <v>20</v>
      </c>
      <c r="G15">
        <v>443.9</v>
      </c>
      <c r="H15">
        <v>392.5</v>
      </c>
      <c r="I15">
        <v>0</v>
      </c>
      <c r="J15">
        <v>8</v>
      </c>
      <c r="K15" t="s">
        <v>32</v>
      </c>
    </row>
    <row r="16" spans="4:16" x14ac:dyDescent="0.35">
      <c r="D16">
        <v>27</v>
      </c>
      <c r="E16">
        <v>0</v>
      </c>
      <c r="F16" t="s">
        <v>20</v>
      </c>
      <c r="G16">
        <v>443.9</v>
      </c>
      <c r="H16">
        <v>392.5</v>
      </c>
      <c r="I16">
        <v>0</v>
      </c>
      <c r="J16">
        <v>9</v>
      </c>
      <c r="K16" t="s">
        <v>33</v>
      </c>
    </row>
    <row r="17" spans="4:11" x14ac:dyDescent="0.35">
      <c r="D17">
        <v>6</v>
      </c>
      <c r="E17">
        <v>0</v>
      </c>
      <c r="F17" t="s">
        <v>20</v>
      </c>
      <c r="G17">
        <v>424.1</v>
      </c>
      <c r="H17">
        <v>393.8</v>
      </c>
      <c r="I17">
        <v>0</v>
      </c>
      <c r="J17">
        <v>10</v>
      </c>
      <c r="K17" t="s">
        <v>34</v>
      </c>
    </row>
    <row r="18" spans="4:11" x14ac:dyDescent="0.35">
      <c r="D18">
        <v>4</v>
      </c>
      <c r="E18">
        <v>0</v>
      </c>
      <c r="F18" t="s">
        <v>20</v>
      </c>
      <c r="G18">
        <v>424.1</v>
      </c>
      <c r="H18">
        <v>393.8</v>
      </c>
      <c r="I18">
        <v>0</v>
      </c>
      <c r="J18">
        <v>11</v>
      </c>
      <c r="K18" t="s">
        <v>35</v>
      </c>
    </row>
    <row r="19" spans="4:11" x14ac:dyDescent="0.35">
      <c r="D19">
        <v>3</v>
      </c>
      <c r="E19">
        <v>0</v>
      </c>
      <c r="F19" t="s">
        <v>20</v>
      </c>
      <c r="G19">
        <v>424.1</v>
      </c>
      <c r="H19">
        <v>393.8</v>
      </c>
      <c r="I19">
        <v>0</v>
      </c>
      <c r="J19">
        <v>12</v>
      </c>
      <c r="K19" t="s">
        <v>36</v>
      </c>
    </row>
    <row r="20" spans="4:11" x14ac:dyDescent="0.35">
      <c r="D20">
        <v>12</v>
      </c>
      <c r="E20">
        <v>0</v>
      </c>
      <c r="F20" t="s">
        <v>22</v>
      </c>
      <c r="G20" s="18">
        <v>27220</v>
      </c>
      <c r="H20">
        <v>0</v>
      </c>
      <c r="I20">
        <v>0</v>
      </c>
      <c r="J20">
        <v>13</v>
      </c>
      <c r="K20" s="18" t="s">
        <v>37</v>
      </c>
    </row>
    <row r="21" spans="4:11" x14ac:dyDescent="0.35">
      <c r="D21">
        <v>11</v>
      </c>
      <c r="E21">
        <v>0</v>
      </c>
      <c r="F21" t="s">
        <v>22</v>
      </c>
      <c r="G21" s="18">
        <v>27220</v>
      </c>
      <c r="H21">
        <v>0</v>
      </c>
      <c r="I21">
        <v>0</v>
      </c>
      <c r="J21">
        <v>14</v>
      </c>
      <c r="K21" s="18" t="s">
        <v>38</v>
      </c>
    </row>
    <row r="22" spans="4:11" x14ac:dyDescent="0.35">
      <c r="D22">
        <v>10</v>
      </c>
      <c r="E22">
        <v>0</v>
      </c>
      <c r="F22" t="s">
        <v>22</v>
      </c>
      <c r="G22" s="18">
        <v>27220</v>
      </c>
      <c r="H22">
        <v>0</v>
      </c>
      <c r="I22">
        <v>0</v>
      </c>
      <c r="J22">
        <v>15</v>
      </c>
      <c r="K22" t="s">
        <v>39</v>
      </c>
    </row>
    <row r="23" spans="4:11" x14ac:dyDescent="0.35">
      <c r="D23">
        <v>15</v>
      </c>
      <c r="E23">
        <v>0</v>
      </c>
      <c r="F23" t="s">
        <v>22</v>
      </c>
      <c r="G23" s="18">
        <v>32400</v>
      </c>
      <c r="H23">
        <v>0</v>
      </c>
      <c r="I23">
        <v>0</v>
      </c>
      <c r="J23">
        <v>16</v>
      </c>
      <c r="K23" s="18" t="s">
        <v>40</v>
      </c>
    </row>
    <row r="24" spans="4:11" x14ac:dyDescent="0.35">
      <c r="D24">
        <v>14</v>
      </c>
      <c r="E24">
        <v>0</v>
      </c>
      <c r="F24" t="s">
        <v>22</v>
      </c>
      <c r="G24" s="18">
        <v>32400</v>
      </c>
      <c r="H24">
        <v>0</v>
      </c>
      <c r="I24" s="18">
        <v>0</v>
      </c>
      <c r="J24">
        <v>17</v>
      </c>
      <c r="K24" s="18" t="s">
        <v>41</v>
      </c>
    </row>
    <row r="25" spans="4:11" x14ac:dyDescent="0.35">
      <c r="D25">
        <v>13</v>
      </c>
      <c r="E25">
        <v>0</v>
      </c>
      <c r="F25" t="s">
        <v>22</v>
      </c>
      <c r="G25" s="18">
        <v>32400</v>
      </c>
      <c r="H25">
        <v>0</v>
      </c>
      <c r="I25" s="18">
        <v>0</v>
      </c>
      <c r="J25">
        <v>18</v>
      </c>
      <c r="K25" t="s">
        <v>42</v>
      </c>
    </row>
    <row r="26" spans="4:11" x14ac:dyDescent="0.35">
      <c r="D26">
        <v>21</v>
      </c>
      <c r="E26">
        <v>0</v>
      </c>
      <c r="F26" t="s">
        <v>22</v>
      </c>
      <c r="G26" s="18">
        <v>19040</v>
      </c>
      <c r="H26">
        <v>0</v>
      </c>
      <c r="I26" s="18">
        <v>0</v>
      </c>
      <c r="J26">
        <v>19</v>
      </c>
      <c r="K26" s="18" t="s">
        <v>43</v>
      </c>
    </row>
    <row r="27" spans="4:11" x14ac:dyDescent="0.35">
      <c r="D27">
        <v>20</v>
      </c>
      <c r="E27">
        <v>0</v>
      </c>
      <c r="F27" t="s">
        <v>22</v>
      </c>
      <c r="G27" s="18">
        <v>19040</v>
      </c>
      <c r="H27">
        <v>0</v>
      </c>
      <c r="I27">
        <v>0</v>
      </c>
      <c r="J27">
        <v>20</v>
      </c>
      <c r="K27" s="18" t="s">
        <v>44</v>
      </c>
    </row>
    <row r="28" spans="4:11" x14ac:dyDescent="0.35">
      <c r="D28">
        <v>19</v>
      </c>
      <c r="E28">
        <v>0</v>
      </c>
      <c r="F28" t="s">
        <v>22</v>
      </c>
      <c r="G28" s="18">
        <v>19040</v>
      </c>
      <c r="H28">
        <v>0</v>
      </c>
      <c r="I28">
        <v>0</v>
      </c>
      <c r="J28">
        <v>21</v>
      </c>
      <c r="K28" s="18" t="s">
        <v>45</v>
      </c>
    </row>
    <row r="29" spans="4:11" x14ac:dyDescent="0.35">
      <c r="D29">
        <v>5</v>
      </c>
      <c r="E29">
        <v>9</v>
      </c>
      <c r="F29" t="s">
        <v>24</v>
      </c>
      <c r="G29">
        <v>13.04</v>
      </c>
      <c r="H29">
        <v>167.4</v>
      </c>
      <c r="I29">
        <v>0</v>
      </c>
      <c r="J29">
        <v>22</v>
      </c>
      <c r="K29" t="s">
        <v>46</v>
      </c>
    </row>
    <row r="30" spans="4:11" x14ac:dyDescent="0.35">
      <c r="D30">
        <v>2</v>
      </c>
      <c r="E30">
        <v>8</v>
      </c>
      <c r="F30" t="s">
        <v>24</v>
      </c>
      <c r="G30">
        <v>13.04</v>
      </c>
      <c r="H30">
        <v>167.4</v>
      </c>
      <c r="I30">
        <v>0</v>
      </c>
      <c r="J30">
        <v>23</v>
      </c>
      <c r="K30" s="18" t="s">
        <v>47</v>
      </c>
    </row>
    <row r="31" spans="4:11" x14ac:dyDescent="0.35">
      <c r="D31">
        <v>1</v>
      </c>
      <c r="E31">
        <v>7</v>
      </c>
      <c r="F31" t="s">
        <v>24</v>
      </c>
      <c r="G31">
        <v>13.04</v>
      </c>
      <c r="H31">
        <v>167.4</v>
      </c>
      <c r="I31">
        <v>0</v>
      </c>
      <c r="J31">
        <v>24</v>
      </c>
      <c r="K31" s="18" t="s">
        <v>48</v>
      </c>
    </row>
    <row r="32" spans="4:11" x14ac:dyDescent="0.35">
      <c r="D32">
        <v>35</v>
      </c>
      <c r="E32">
        <v>9</v>
      </c>
      <c r="F32" t="s">
        <v>20</v>
      </c>
      <c r="G32">
        <v>3.1019999999999999</v>
      </c>
      <c r="H32">
        <v>19.29</v>
      </c>
      <c r="I32">
        <v>0</v>
      </c>
      <c r="J32">
        <v>25</v>
      </c>
      <c r="K32" t="s">
        <v>49</v>
      </c>
    </row>
    <row r="33" spans="4:11" x14ac:dyDescent="0.35">
      <c r="D33">
        <v>5</v>
      </c>
      <c r="E33">
        <v>36</v>
      </c>
      <c r="F33" t="s">
        <v>20</v>
      </c>
      <c r="G33">
        <v>0</v>
      </c>
      <c r="H33">
        <v>0</v>
      </c>
      <c r="I33">
        <v>0.19389999999999999</v>
      </c>
      <c r="J33">
        <v>26</v>
      </c>
      <c r="K33" s="18" t="s">
        <v>50</v>
      </c>
    </row>
    <row r="34" spans="4:11" x14ac:dyDescent="0.35">
      <c r="D34">
        <v>2</v>
      </c>
      <c r="E34">
        <v>36</v>
      </c>
      <c r="F34" t="s">
        <v>20</v>
      </c>
      <c r="G34">
        <v>0</v>
      </c>
      <c r="H34">
        <v>0</v>
      </c>
      <c r="I34">
        <v>0.19389999999999999</v>
      </c>
      <c r="J34">
        <v>27</v>
      </c>
      <c r="K34" s="18" t="s">
        <v>51</v>
      </c>
    </row>
    <row r="35" spans="4:11" x14ac:dyDescent="0.35">
      <c r="D35">
        <v>1</v>
      </c>
      <c r="E35">
        <v>36</v>
      </c>
      <c r="F35" t="s">
        <v>20</v>
      </c>
      <c r="G35">
        <v>0</v>
      </c>
      <c r="H35">
        <v>0</v>
      </c>
      <c r="I35">
        <v>0.19389999999999999</v>
      </c>
      <c r="J35">
        <v>28</v>
      </c>
      <c r="K35" t="s">
        <v>52</v>
      </c>
    </row>
    <row r="36" spans="4:11" x14ac:dyDescent="0.35">
      <c r="D36">
        <v>36</v>
      </c>
      <c r="E36">
        <v>0</v>
      </c>
      <c r="F36" t="s">
        <v>20</v>
      </c>
      <c r="G36">
        <v>0</v>
      </c>
      <c r="H36">
        <v>0</v>
      </c>
      <c r="I36">
        <v>-2182</v>
      </c>
      <c r="J36">
        <v>29</v>
      </c>
      <c r="K36" t="s">
        <v>53</v>
      </c>
    </row>
    <row r="37" spans="4:11" x14ac:dyDescent="0.35">
      <c r="D37">
        <v>9</v>
      </c>
      <c r="E37">
        <v>37</v>
      </c>
      <c r="F37" t="s">
        <v>20</v>
      </c>
      <c r="G37">
        <v>0</v>
      </c>
      <c r="H37">
        <v>0</v>
      </c>
      <c r="I37">
        <v>0.19389999999999999</v>
      </c>
      <c r="J37">
        <v>30</v>
      </c>
      <c r="K37" t="s">
        <v>54</v>
      </c>
    </row>
    <row r="38" spans="4:11" x14ac:dyDescent="0.35">
      <c r="D38">
        <v>8</v>
      </c>
      <c r="E38">
        <v>37</v>
      </c>
      <c r="F38" t="s">
        <v>20</v>
      </c>
      <c r="G38">
        <v>0</v>
      </c>
      <c r="H38">
        <v>0</v>
      </c>
      <c r="I38">
        <v>0.19389999999999999</v>
      </c>
      <c r="J38">
        <v>31</v>
      </c>
      <c r="K38" t="s">
        <v>55</v>
      </c>
    </row>
    <row r="39" spans="4:11" x14ac:dyDescent="0.35">
      <c r="D39">
        <v>7</v>
      </c>
      <c r="E39">
        <v>37</v>
      </c>
      <c r="F39" t="s">
        <v>20</v>
      </c>
      <c r="G39">
        <v>0</v>
      </c>
      <c r="H39">
        <v>0</v>
      </c>
      <c r="I39">
        <v>0.19389999999999999</v>
      </c>
      <c r="J39">
        <v>32</v>
      </c>
      <c r="K39" t="s">
        <v>56</v>
      </c>
    </row>
    <row r="40" spans="4:11" x14ac:dyDescent="0.35">
      <c r="D40">
        <v>37</v>
      </c>
      <c r="E40">
        <v>0</v>
      </c>
      <c r="F40" t="s">
        <v>20</v>
      </c>
      <c r="G40">
        <v>0</v>
      </c>
      <c r="H40">
        <v>0</v>
      </c>
      <c r="I40">
        <v>-2182</v>
      </c>
      <c r="J40">
        <v>33</v>
      </c>
      <c r="K40" t="s">
        <v>57</v>
      </c>
    </row>
    <row r="41" spans="4:11" x14ac:dyDescent="0.35">
      <c r="D41">
        <v>26</v>
      </c>
      <c r="E41">
        <v>9</v>
      </c>
      <c r="F41" t="s">
        <v>24</v>
      </c>
      <c r="G41">
        <v>14.68</v>
      </c>
      <c r="H41">
        <v>171.7</v>
      </c>
      <c r="I41">
        <v>0</v>
      </c>
      <c r="J41">
        <v>34</v>
      </c>
      <c r="K41" t="s">
        <v>58</v>
      </c>
    </row>
    <row r="42" spans="4:11" x14ac:dyDescent="0.35">
      <c r="D42">
        <v>25</v>
      </c>
      <c r="E42">
        <v>8</v>
      </c>
      <c r="F42" t="s">
        <v>24</v>
      </c>
      <c r="G42">
        <v>14.68</v>
      </c>
      <c r="H42">
        <v>171.7</v>
      </c>
      <c r="I42">
        <v>0</v>
      </c>
      <c r="J42">
        <v>35</v>
      </c>
      <c r="K42" t="s">
        <v>59</v>
      </c>
    </row>
    <row r="43" spans="4:11" x14ac:dyDescent="0.35">
      <c r="D43">
        <v>27</v>
      </c>
      <c r="E43">
        <v>7</v>
      </c>
      <c r="F43" t="s">
        <v>24</v>
      </c>
      <c r="G43">
        <v>14.68</v>
      </c>
      <c r="H43">
        <v>171.7</v>
      </c>
      <c r="I43">
        <v>0</v>
      </c>
      <c r="J43">
        <v>36</v>
      </c>
      <c r="K43" t="s">
        <v>60</v>
      </c>
    </row>
    <row r="44" spans="4:11" x14ac:dyDescent="0.35">
      <c r="D44">
        <v>38</v>
      </c>
      <c r="E44">
        <v>9</v>
      </c>
      <c r="F44" t="s">
        <v>20</v>
      </c>
      <c r="G44">
        <v>2.282</v>
      </c>
      <c r="H44">
        <v>17.11</v>
      </c>
      <c r="I44">
        <v>0</v>
      </c>
      <c r="J44">
        <v>37</v>
      </c>
      <c r="K44" t="s">
        <v>61</v>
      </c>
    </row>
    <row r="45" spans="4:11" x14ac:dyDescent="0.35">
      <c r="D45">
        <v>26</v>
      </c>
      <c r="E45">
        <v>39</v>
      </c>
      <c r="F45" t="s">
        <v>20</v>
      </c>
      <c r="G45">
        <v>0</v>
      </c>
      <c r="H45">
        <v>0</v>
      </c>
      <c r="I45">
        <v>0.19389999999999999</v>
      </c>
      <c r="J45">
        <v>38</v>
      </c>
      <c r="K45" t="s">
        <v>62</v>
      </c>
    </row>
    <row r="46" spans="4:11" x14ac:dyDescent="0.35">
      <c r="D46">
        <v>25</v>
      </c>
      <c r="E46">
        <v>39</v>
      </c>
      <c r="F46" t="s">
        <v>20</v>
      </c>
      <c r="G46">
        <v>0</v>
      </c>
      <c r="H46">
        <v>0</v>
      </c>
      <c r="I46">
        <v>0.19389999999999999</v>
      </c>
      <c r="J46">
        <v>39</v>
      </c>
      <c r="K46" t="s">
        <v>63</v>
      </c>
    </row>
    <row r="47" spans="4:11" x14ac:dyDescent="0.35">
      <c r="D47">
        <v>27</v>
      </c>
      <c r="E47">
        <v>39</v>
      </c>
      <c r="F47" t="s">
        <v>20</v>
      </c>
      <c r="G47">
        <v>0</v>
      </c>
      <c r="H47">
        <v>0</v>
      </c>
      <c r="I47">
        <v>0.19389999999999999</v>
      </c>
      <c r="J47">
        <v>40</v>
      </c>
      <c r="K47" t="s">
        <v>64</v>
      </c>
    </row>
    <row r="48" spans="4:11" x14ac:dyDescent="0.35">
      <c r="D48">
        <v>39</v>
      </c>
      <c r="E48">
        <v>0</v>
      </c>
      <c r="F48" t="s">
        <v>20</v>
      </c>
      <c r="G48">
        <v>0</v>
      </c>
      <c r="H48">
        <v>0</v>
      </c>
      <c r="I48">
        <v>-2460</v>
      </c>
      <c r="J48">
        <v>41</v>
      </c>
      <c r="K48" t="s">
        <v>65</v>
      </c>
    </row>
    <row r="49" spans="4:11" x14ac:dyDescent="0.35">
      <c r="D49">
        <v>9</v>
      </c>
      <c r="E49">
        <v>40</v>
      </c>
      <c r="F49" t="s">
        <v>20</v>
      </c>
      <c r="G49">
        <v>0</v>
      </c>
      <c r="H49">
        <v>0</v>
      </c>
      <c r="I49">
        <v>0.19389999999999999</v>
      </c>
      <c r="J49">
        <v>42</v>
      </c>
      <c r="K49" t="s">
        <v>66</v>
      </c>
    </row>
    <row r="50" spans="4:11" x14ac:dyDescent="0.35">
      <c r="D50">
        <v>8</v>
      </c>
      <c r="E50">
        <v>40</v>
      </c>
      <c r="F50" t="s">
        <v>20</v>
      </c>
      <c r="G50">
        <v>0</v>
      </c>
      <c r="H50">
        <v>0</v>
      </c>
      <c r="I50">
        <v>0.19389999999999999</v>
      </c>
      <c r="J50">
        <v>43</v>
      </c>
      <c r="K50" t="s">
        <v>67</v>
      </c>
    </row>
    <row r="51" spans="4:11" x14ac:dyDescent="0.35">
      <c r="D51">
        <v>7</v>
      </c>
      <c r="E51">
        <v>40</v>
      </c>
      <c r="F51" t="s">
        <v>20</v>
      </c>
      <c r="G51">
        <v>0</v>
      </c>
      <c r="H51">
        <v>0</v>
      </c>
      <c r="I51">
        <v>0.19389999999999999</v>
      </c>
      <c r="J51">
        <v>44</v>
      </c>
      <c r="K51" t="s">
        <v>68</v>
      </c>
    </row>
    <row r="52" spans="4:11" x14ac:dyDescent="0.35">
      <c r="D52">
        <v>40</v>
      </c>
      <c r="E52">
        <v>0</v>
      </c>
      <c r="F52" t="s">
        <v>20</v>
      </c>
      <c r="G52">
        <v>0</v>
      </c>
      <c r="H52">
        <v>0</v>
      </c>
      <c r="I52">
        <v>-2460</v>
      </c>
      <c r="J52">
        <v>45</v>
      </c>
      <c r="K52" t="s">
        <v>69</v>
      </c>
    </row>
    <row r="53" spans="4:11" x14ac:dyDescent="0.35">
      <c r="D53">
        <v>23</v>
      </c>
      <c r="E53">
        <v>5</v>
      </c>
      <c r="F53" t="s">
        <v>24</v>
      </c>
      <c r="G53">
        <v>28.63</v>
      </c>
      <c r="H53">
        <v>327.7</v>
      </c>
      <c r="I53">
        <v>0</v>
      </c>
      <c r="J53">
        <v>46</v>
      </c>
      <c r="K53" t="s">
        <v>70</v>
      </c>
    </row>
    <row r="54" spans="4:11" x14ac:dyDescent="0.35">
      <c r="D54">
        <v>22</v>
      </c>
      <c r="E54">
        <v>2</v>
      </c>
      <c r="F54" t="s">
        <v>24</v>
      </c>
      <c r="G54">
        <v>28.63</v>
      </c>
      <c r="H54">
        <v>327.7</v>
      </c>
      <c r="I54">
        <v>0</v>
      </c>
      <c r="J54">
        <v>47</v>
      </c>
      <c r="K54" t="s">
        <v>71</v>
      </c>
    </row>
    <row r="55" spans="4:11" x14ac:dyDescent="0.35">
      <c r="D55">
        <v>24</v>
      </c>
      <c r="E55">
        <v>1</v>
      </c>
      <c r="F55" t="s">
        <v>24</v>
      </c>
      <c r="G55">
        <v>28.63</v>
      </c>
      <c r="H55">
        <v>327.7</v>
      </c>
      <c r="I55">
        <v>0</v>
      </c>
      <c r="J55">
        <v>48</v>
      </c>
      <c r="K55" t="s">
        <v>72</v>
      </c>
    </row>
    <row r="56" spans="4:11" x14ac:dyDescent="0.35">
      <c r="D56">
        <v>41</v>
      </c>
      <c r="E56">
        <v>5</v>
      </c>
      <c r="F56" t="s">
        <v>20</v>
      </c>
      <c r="G56">
        <v>4.7160000000000002</v>
      </c>
      <c r="H56">
        <v>41</v>
      </c>
      <c r="I56">
        <v>0</v>
      </c>
      <c r="J56">
        <v>49</v>
      </c>
      <c r="K56" t="s">
        <v>73</v>
      </c>
    </row>
    <row r="57" spans="4:11" x14ac:dyDescent="0.35">
      <c r="D57">
        <v>23</v>
      </c>
      <c r="E57">
        <v>42</v>
      </c>
      <c r="F57" t="s">
        <v>20</v>
      </c>
      <c r="G57">
        <v>0</v>
      </c>
      <c r="H57">
        <v>0</v>
      </c>
      <c r="I57">
        <v>0.3886</v>
      </c>
      <c r="J57">
        <v>50</v>
      </c>
      <c r="K57" t="s">
        <v>74</v>
      </c>
    </row>
    <row r="58" spans="4:11" x14ac:dyDescent="0.35">
      <c r="D58">
        <v>22</v>
      </c>
      <c r="E58">
        <v>42</v>
      </c>
      <c r="F58" t="s">
        <v>20</v>
      </c>
      <c r="G58">
        <v>0</v>
      </c>
      <c r="H58">
        <v>0</v>
      </c>
      <c r="I58">
        <v>0.3886</v>
      </c>
      <c r="J58">
        <v>51</v>
      </c>
      <c r="K58" t="s">
        <v>75</v>
      </c>
    </row>
    <row r="59" spans="4:11" x14ac:dyDescent="0.35">
      <c r="D59">
        <v>24</v>
      </c>
      <c r="E59">
        <v>42</v>
      </c>
      <c r="F59" t="s">
        <v>20</v>
      </c>
      <c r="G59">
        <v>0</v>
      </c>
      <c r="H59">
        <v>0</v>
      </c>
      <c r="I59">
        <v>0.3886</v>
      </c>
      <c r="J59">
        <v>52</v>
      </c>
      <c r="K59" t="s">
        <v>76</v>
      </c>
    </row>
    <row r="60" spans="4:11" x14ac:dyDescent="0.35">
      <c r="D60">
        <v>42</v>
      </c>
      <c r="E60">
        <v>0</v>
      </c>
      <c r="F60" t="s">
        <v>20</v>
      </c>
      <c r="G60">
        <v>0</v>
      </c>
      <c r="H60">
        <v>0</v>
      </c>
      <c r="I60">
        <v>-1017</v>
      </c>
      <c r="J60">
        <v>53</v>
      </c>
      <c r="K60" t="s">
        <v>77</v>
      </c>
    </row>
    <row r="61" spans="4:11" x14ac:dyDescent="0.35">
      <c r="D61">
        <v>5</v>
      </c>
      <c r="E61">
        <v>43</v>
      </c>
      <c r="F61" t="s">
        <v>20</v>
      </c>
      <c r="G61">
        <v>0</v>
      </c>
      <c r="H61">
        <v>0</v>
      </c>
      <c r="I61">
        <v>0.3886</v>
      </c>
      <c r="J61">
        <v>54</v>
      </c>
      <c r="K61" t="s">
        <v>78</v>
      </c>
    </row>
    <row r="62" spans="4:11" x14ac:dyDescent="0.35">
      <c r="D62">
        <v>2</v>
      </c>
      <c r="E62">
        <v>43</v>
      </c>
      <c r="F62" t="s">
        <v>20</v>
      </c>
      <c r="G62">
        <v>0</v>
      </c>
      <c r="H62">
        <v>0</v>
      </c>
      <c r="I62">
        <v>0.3886</v>
      </c>
      <c r="J62">
        <v>55</v>
      </c>
      <c r="K62" t="s">
        <v>79</v>
      </c>
    </row>
    <row r="63" spans="4:11" x14ac:dyDescent="0.35">
      <c r="D63">
        <v>1</v>
      </c>
      <c r="E63">
        <v>43</v>
      </c>
      <c r="F63" t="s">
        <v>20</v>
      </c>
      <c r="G63">
        <v>0</v>
      </c>
      <c r="H63">
        <v>0</v>
      </c>
      <c r="I63">
        <v>0.3886</v>
      </c>
      <c r="J63">
        <v>56</v>
      </c>
      <c r="K63" t="s">
        <v>80</v>
      </c>
    </row>
    <row r="64" spans="4:11" x14ac:dyDescent="0.35">
      <c r="D64">
        <v>43</v>
      </c>
      <c r="E64">
        <v>0</v>
      </c>
      <c r="F64" t="s">
        <v>20</v>
      </c>
      <c r="G64">
        <v>0</v>
      </c>
      <c r="H64">
        <v>0</v>
      </c>
      <c r="I64">
        <v>-1017</v>
      </c>
      <c r="J64">
        <v>57</v>
      </c>
      <c r="K64" t="s">
        <v>81</v>
      </c>
    </row>
    <row r="65" spans="4:11" x14ac:dyDescent="0.35">
      <c r="D65">
        <v>18</v>
      </c>
      <c r="E65">
        <v>26</v>
      </c>
      <c r="F65" t="s">
        <v>24</v>
      </c>
      <c r="G65">
        <v>30.25</v>
      </c>
      <c r="H65">
        <v>333.3</v>
      </c>
      <c r="I65">
        <v>0</v>
      </c>
      <c r="J65">
        <v>58</v>
      </c>
      <c r="K65" t="s">
        <v>82</v>
      </c>
    </row>
    <row r="66" spans="4:11" x14ac:dyDescent="0.35">
      <c r="D66">
        <v>17</v>
      </c>
      <c r="E66">
        <v>25</v>
      </c>
      <c r="F66" t="s">
        <v>24</v>
      </c>
      <c r="G66">
        <v>30.25</v>
      </c>
      <c r="H66">
        <v>333.3</v>
      </c>
      <c r="I66">
        <v>0</v>
      </c>
      <c r="J66">
        <v>59</v>
      </c>
      <c r="K66" t="s">
        <v>83</v>
      </c>
    </row>
    <row r="67" spans="4:11" x14ac:dyDescent="0.35">
      <c r="D67">
        <v>16</v>
      </c>
      <c r="E67">
        <v>27</v>
      </c>
      <c r="F67" t="s">
        <v>24</v>
      </c>
      <c r="G67">
        <v>30.25</v>
      </c>
      <c r="H67">
        <v>333.3</v>
      </c>
      <c r="I67">
        <v>0</v>
      </c>
      <c r="J67">
        <v>60</v>
      </c>
      <c r="K67" t="s">
        <v>84</v>
      </c>
    </row>
    <row r="68" spans="4:11" x14ac:dyDescent="0.35">
      <c r="D68">
        <v>44</v>
      </c>
      <c r="E68">
        <v>26</v>
      </c>
      <c r="F68" t="s">
        <v>20</v>
      </c>
      <c r="G68">
        <v>3.9039999999999999</v>
      </c>
      <c r="H68">
        <v>38.22</v>
      </c>
      <c r="I68">
        <v>0</v>
      </c>
      <c r="J68">
        <v>61</v>
      </c>
      <c r="K68" t="s">
        <v>85</v>
      </c>
    </row>
    <row r="69" spans="4:11" x14ac:dyDescent="0.35">
      <c r="D69">
        <v>18</v>
      </c>
      <c r="E69">
        <v>45</v>
      </c>
      <c r="F69" t="s">
        <v>20</v>
      </c>
      <c r="G69">
        <v>0</v>
      </c>
      <c r="H69">
        <v>0</v>
      </c>
      <c r="I69">
        <v>0.3886</v>
      </c>
      <c r="J69">
        <v>62</v>
      </c>
      <c r="K69" t="s">
        <v>86</v>
      </c>
    </row>
    <row r="70" spans="4:11" x14ac:dyDescent="0.35">
      <c r="D70">
        <v>17</v>
      </c>
      <c r="E70">
        <v>45</v>
      </c>
      <c r="F70" t="s">
        <v>20</v>
      </c>
      <c r="G70">
        <v>0</v>
      </c>
      <c r="H70">
        <v>0</v>
      </c>
      <c r="I70">
        <v>0.3886</v>
      </c>
      <c r="J70">
        <v>63</v>
      </c>
      <c r="K70" t="s">
        <v>87</v>
      </c>
    </row>
    <row r="71" spans="4:11" x14ac:dyDescent="0.35">
      <c r="D71">
        <v>16</v>
      </c>
      <c r="E71">
        <v>45</v>
      </c>
      <c r="F71" t="s">
        <v>20</v>
      </c>
      <c r="G71">
        <v>0</v>
      </c>
      <c r="H71">
        <v>0</v>
      </c>
      <c r="I71">
        <v>0.3886</v>
      </c>
      <c r="J71">
        <v>64</v>
      </c>
      <c r="K71" t="s">
        <v>88</v>
      </c>
    </row>
    <row r="72" spans="4:11" x14ac:dyDescent="0.35">
      <c r="D72">
        <v>45</v>
      </c>
      <c r="E72">
        <v>0</v>
      </c>
      <c r="F72" t="s">
        <v>20</v>
      </c>
      <c r="G72">
        <v>0</v>
      </c>
      <c r="H72">
        <v>0</v>
      </c>
      <c r="I72">
        <v>-1090</v>
      </c>
      <c r="J72">
        <v>65</v>
      </c>
      <c r="K72" t="s">
        <v>89</v>
      </c>
    </row>
    <row r="73" spans="4:11" x14ac:dyDescent="0.35">
      <c r="D73">
        <v>26</v>
      </c>
      <c r="E73">
        <v>46</v>
      </c>
      <c r="F73" t="s">
        <v>20</v>
      </c>
      <c r="G73">
        <v>0</v>
      </c>
      <c r="H73">
        <v>0</v>
      </c>
      <c r="I73">
        <v>0.3886</v>
      </c>
      <c r="J73">
        <v>66</v>
      </c>
      <c r="K73" t="s">
        <v>90</v>
      </c>
    </row>
    <row r="74" spans="4:11" x14ac:dyDescent="0.35">
      <c r="D74">
        <v>25</v>
      </c>
      <c r="E74">
        <v>46</v>
      </c>
      <c r="F74" t="s">
        <v>20</v>
      </c>
      <c r="G74">
        <v>0</v>
      </c>
      <c r="H74">
        <v>0</v>
      </c>
      <c r="I74">
        <v>0.3886</v>
      </c>
      <c r="J74">
        <v>67</v>
      </c>
      <c r="K74" t="s">
        <v>91</v>
      </c>
    </row>
    <row r="75" spans="4:11" x14ac:dyDescent="0.35">
      <c r="D75">
        <v>27</v>
      </c>
      <c r="E75">
        <v>46</v>
      </c>
      <c r="F75" t="s">
        <v>20</v>
      </c>
      <c r="G75">
        <v>0</v>
      </c>
      <c r="H75">
        <v>0</v>
      </c>
      <c r="I75">
        <v>0.3886</v>
      </c>
      <c r="J75">
        <v>68</v>
      </c>
      <c r="K75" t="s">
        <v>92</v>
      </c>
    </row>
    <row r="76" spans="4:11" x14ac:dyDescent="0.35">
      <c r="D76">
        <v>46</v>
      </c>
      <c r="E76">
        <v>0</v>
      </c>
      <c r="F76" t="s">
        <v>20</v>
      </c>
      <c r="G76">
        <v>0</v>
      </c>
      <c r="H76">
        <v>0</v>
      </c>
      <c r="I76">
        <v>-1090</v>
      </c>
      <c r="J76">
        <v>69</v>
      </c>
      <c r="K76" t="s">
        <v>93</v>
      </c>
    </row>
    <row r="77" spans="4:11" x14ac:dyDescent="0.35">
      <c r="D77">
        <v>23</v>
      </c>
      <c r="E77">
        <v>6</v>
      </c>
      <c r="F77" t="s">
        <v>24</v>
      </c>
      <c r="G77">
        <v>12.69</v>
      </c>
      <c r="H77">
        <v>159.30000000000001</v>
      </c>
      <c r="I77">
        <v>0</v>
      </c>
      <c r="J77">
        <v>70</v>
      </c>
      <c r="K77" t="s">
        <v>94</v>
      </c>
    </row>
    <row r="78" spans="4:11" x14ac:dyDescent="0.35">
      <c r="D78">
        <v>22</v>
      </c>
      <c r="E78">
        <v>4</v>
      </c>
      <c r="F78" t="s">
        <v>24</v>
      </c>
      <c r="G78">
        <v>12.69</v>
      </c>
      <c r="H78">
        <v>159.30000000000001</v>
      </c>
      <c r="I78">
        <v>0</v>
      </c>
      <c r="J78">
        <v>71</v>
      </c>
      <c r="K78" t="s">
        <v>95</v>
      </c>
    </row>
    <row r="79" spans="4:11" x14ac:dyDescent="0.35">
      <c r="D79">
        <v>24</v>
      </c>
      <c r="E79">
        <v>3</v>
      </c>
      <c r="F79" t="s">
        <v>24</v>
      </c>
      <c r="G79">
        <v>12.69</v>
      </c>
      <c r="H79">
        <v>159.30000000000001</v>
      </c>
      <c r="I79">
        <v>0</v>
      </c>
      <c r="J79">
        <v>72</v>
      </c>
      <c r="K79" t="s">
        <v>96</v>
      </c>
    </row>
    <row r="80" spans="4:11" x14ac:dyDescent="0.35">
      <c r="D80">
        <v>47</v>
      </c>
      <c r="E80">
        <v>6</v>
      </c>
      <c r="F80" t="s">
        <v>20</v>
      </c>
      <c r="G80">
        <v>3.2770000000000001</v>
      </c>
      <c r="H80">
        <v>23.32</v>
      </c>
      <c r="I80">
        <v>0</v>
      </c>
      <c r="J80">
        <v>73</v>
      </c>
      <c r="K80" t="s">
        <v>97</v>
      </c>
    </row>
    <row r="81" spans="4:11" x14ac:dyDescent="0.35">
      <c r="D81">
        <v>23</v>
      </c>
      <c r="E81">
        <v>48</v>
      </c>
      <c r="F81" t="s">
        <v>20</v>
      </c>
      <c r="G81">
        <v>0</v>
      </c>
      <c r="H81">
        <v>0</v>
      </c>
      <c r="I81">
        <v>0.16889999999999999</v>
      </c>
      <c r="J81">
        <v>74</v>
      </c>
      <c r="K81" t="s">
        <v>98</v>
      </c>
    </row>
    <row r="82" spans="4:11" x14ac:dyDescent="0.35">
      <c r="D82">
        <v>22</v>
      </c>
      <c r="E82">
        <v>48</v>
      </c>
      <c r="F82" t="s">
        <v>20</v>
      </c>
      <c r="G82">
        <v>0</v>
      </c>
      <c r="H82">
        <v>0</v>
      </c>
      <c r="I82">
        <v>0.16889999999999999</v>
      </c>
      <c r="J82">
        <v>75</v>
      </c>
      <c r="K82" t="s">
        <v>99</v>
      </c>
    </row>
    <row r="83" spans="4:11" x14ac:dyDescent="0.35">
      <c r="D83">
        <v>24</v>
      </c>
      <c r="E83">
        <v>48</v>
      </c>
      <c r="F83" t="s">
        <v>20</v>
      </c>
      <c r="G83">
        <v>0</v>
      </c>
      <c r="H83">
        <v>0</v>
      </c>
      <c r="I83">
        <v>0.16889999999999999</v>
      </c>
      <c r="J83">
        <v>76</v>
      </c>
      <c r="K83" t="s">
        <v>100</v>
      </c>
    </row>
    <row r="84" spans="4:11" x14ac:dyDescent="0.35">
      <c r="D84">
        <v>48</v>
      </c>
      <c r="E84">
        <v>0</v>
      </c>
      <c r="F84" t="s">
        <v>20</v>
      </c>
      <c r="G84">
        <v>0</v>
      </c>
      <c r="H84">
        <v>0</v>
      </c>
      <c r="I84">
        <v>-3.9159999999999999</v>
      </c>
      <c r="J84">
        <v>77</v>
      </c>
      <c r="K84" t="s">
        <v>101</v>
      </c>
    </row>
    <row r="85" spans="4:11" x14ac:dyDescent="0.35">
      <c r="D85">
        <v>6</v>
      </c>
      <c r="E85">
        <v>49</v>
      </c>
      <c r="F85" t="s">
        <v>20</v>
      </c>
      <c r="G85">
        <v>0</v>
      </c>
      <c r="H85">
        <v>0</v>
      </c>
      <c r="I85">
        <v>0.16889999999999999</v>
      </c>
      <c r="J85">
        <v>78</v>
      </c>
      <c r="K85" t="s">
        <v>102</v>
      </c>
    </row>
    <row r="86" spans="4:11" x14ac:dyDescent="0.35">
      <c r="D86">
        <v>4</v>
      </c>
      <c r="E86">
        <v>49</v>
      </c>
      <c r="F86" t="s">
        <v>20</v>
      </c>
      <c r="G86">
        <v>0</v>
      </c>
      <c r="H86">
        <v>0</v>
      </c>
      <c r="I86">
        <v>0.16889999999999999</v>
      </c>
      <c r="J86">
        <v>79</v>
      </c>
      <c r="K86" t="s">
        <v>103</v>
      </c>
    </row>
    <row r="87" spans="4:11" x14ac:dyDescent="0.35">
      <c r="D87">
        <v>3</v>
      </c>
      <c r="E87">
        <v>49</v>
      </c>
      <c r="F87" t="s">
        <v>20</v>
      </c>
      <c r="G87">
        <v>0</v>
      </c>
      <c r="H87">
        <v>0</v>
      </c>
      <c r="I87">
        <v>0.16889999999999999</v>
      </c>
      <c r="J87">
        <v>80</v>
      </c>
      <c r="K87" t="s">
        <v>104</v>
      </c>
    </row>
    <row r="88" spans="4:11" x14ac:dyDescent="0.35">
      <c r="D88">
        <v>49</v>
      </c>
      <c r="E88">
        <v>0</v>
      </c>
      <c r="F88" t="s">
        <v>20</v>
      </c>
      <c r="G88">
        <v>0</v>
      </c>
      <c r="H88">
        <v>0</v>
      </c>
      <c r="I88">
        <v>-3.9159999999999999</v>
      </c>
      <c r="J88">
        <v>81</v>
      </c>
      <c r="K88" t="s">
        <v>105</v>
      </c>
    </row>
    <row r="89" spans="4:11" x14ac:dyDescent="0.35">
      <c r="D89">
        <v>6</v>
      </c>
      <c r="E89">
        <v>18</v>
      </c>
      <c r="F89" t="s">
        <v>24</v>
      </c>
      <c r="G89">
        <v>23.97</v>
      </c>
      <c r="H89">
        <v>290.5</v>
      </c>
      <c r="I89">
        <v>0</v>
      </c>
      <c r="J89">
        <v>82</v>
      </c>
      <c r="K89" t="s">
        <v>106</v>
      </c>
    </row>
    <row r="90" spans="4:11" x14ac:dyDescent="0.35">
      <c r="D90">
        <v>4</v>
      </c>
      <c r="E90">
        <v>17</v>
      </c>
      <c r="F90" t="s">
        <v>24</v>
      </c>
      <c r="G90">
        <v>23.97</v>
      </c>
      <c r="H90">
        <v>290.5</v>
      </c>
      <c r="I90">
        <v>0</v>
      </c>
      <c r="J90">
        <v>83</v>
      </c>
      <c r="K90" t="s">
        <v>107</v>
      </c>
    </row>
    <row r="91" spans="4:11" x14ac:dyDescent="0.35">
      <c r="D91">
        <v>3</v>
      </c>
      <c r="E91">
        <v>16</v>
      </c>
      <c r="F91" t="s">
        <v>24</v>
      </c>
      <c r="G91">
        <v>23.97</v>
      </c>
      <c r="H91">
        <v>290.5</v>
      </c>
      <c r="I91">
        <v>0</v>
      </c>
      <c r="J91">
        <v>84</v>
      </c>
      <c r="K91" t="s">
        <v>108</v>
      </c>
    </row>
    <row r="92" spans="4:11" x14ac:dyDescent="0.35">
      <c r="D92">
        <v>50</v>
      </c>
      <c r="E92">
        <v>18</v>
      </c>
      <c r="F92" t="s">
        <v>20</v>
      </c>
      <c r="G92">
        <v>7.0419999999999998</v>
      </c>
      <c r="H92">
        <v>59.61</v>
      </c>
      <c r="I92">
        <v>0</v>
      </c>
      <c r="J92">
        <v>85</v>
      </c>
      <c r="K92" t="s">
        <v>109</v>
      </c>
    </row>
    <row r="93" spans="4:11" x14ac:dyDescent="0.35">
      <c r="D93">
        <v>6</v>
      </c>
      <c r="E93">
        <v>51</v>
      </c>
      <c r="F93" t="s">
        <v>20</v>
      </c>
      <c r="G93">
        <v>0</v>
      </c>
      <c r="H93">
        <v>0</v>
      </c>
      <c r="I93">
        <v>0.38840000000000002</v>
      </c>
      <c r="J93">
        <v>86</v>
      </c>
      <c r="K93" t="s">
        <v>110</v>
      </c>
    </row>
    <row r="94" spans="4:11" x14ac:dyDescent="0.35">
      <c r="D94">
        <v>4</v>
      </c>
      <c r="E94">
        <v>51</v>
      </c>
      <c r="F94" t="s">
        <v>20</v>
      </c>
      <c r="G94">
        <v>0</v>
      </c>
      <c r="H94">
        <v>0</v>
      </c>
      <c r="I94">
        <v>0.38840000000000002</v>
      </c>
      <c r="J94">
        <v>87</v>
      </c>
      <c r="K94" t="s">
        <v>111</v>
      </c>
    </row>
    <row r="95" spans="4:11" x14ac:dyDescent="0.35">
      <c r="D95">
        <v>3</v>
      </c>
      <c r="E95">
        <v>51</v>
      </c>
      <c r="F95" t="s">
        <v>20</v>
      </c>
      <c r="G95">
        <v>0</v>
      </c>
      <c r="H95">
        <v>0</v>
      </c>
      <c r="I95">
        <v>0.38840000000000002</v>
      </c>
      <c r="J95">
        <v>88</v>
      </c>
      <c r="K95" t="s">
        <v>112</v>
      </c>
    </row>
    <row r="96" spans="4:11" x14ac:dyDescent="0.35">
      <c r="D96">
        <v>51</v>
      </c>
      <c r="E96">
        <v>0</v>
      </c>
      <c r="F96" t="s">
        <v>20</v>
      </c>
      <c r="G96">
        <v>0</v>
      </c>
      <c r="H96">
        <v>0</v>
      </c>
      <c r="I96">
        <v>-700</v>
      </c>
      <c r="J96">
        <v>89</v>
      </c>
      <c r="K96" t="s">
        <v>113</v>
      </c>
    </row>
    <row r="97" spans="4:11" x14ac:dyDescent="0.35">
      <c r="D97">
        <v>18</v>
      </c>
      <c r="E97">
        <v>52</v>
      </c>
      <c r="F97" t="s">
        <v>20</v>
      </c>
      <c r="G97">
        <v>0</v>
      </c>
      <c r="H97">
        <v>0</v>
      </c>
      <c r="I97">
        <v>0.38840000000000002</v>
      </c>
      <c r="J97">
        <v>90</v>
      </c>
      <c r="K97" t="s">
        <v>114</v>
      </c>
    </row>
    <row r="98" spans="4:11" x14ac:dyDescent="0.35">
      <c r="D98">
        <v>17</v>
      </c>
      <c r="E98">
        <v>52</v>
      </c>
      <c r="F98" t="s">
        <v>20</v>
      </c>
      <c r="G98">
        <v>0</v>
      </c>
      <c r="H98">
        <v>0</v>
      </c>
      <c r="I98">
        <v>0.38840000000000002</v>
      </c>
      <c r="J98">
        <v>91</v>
      </c>
      <c r="K98" t="s">
        <v>115</v>
      </c>
    </row>
    <row r="99" spans="4:11" x14ac:dyDescent="0.35">
      <c r="D99">
        <v>16</v>
      </c>
      <c r="E99">
        <v>52</v>
      </c>
      <c r="F99" t="s">
        <v>20</v>
      </c>
      <c r="G99">
        <v>0</v>
      </c>
      <c r="H99">
        <v>0</v>
      </c>
      <c r="I99">
        <v>0.38840000000000002</v>
      </c>
      <c r="J99">
        <v>92</v>
      </c>
      <c r="K99" t="s">
        <v>116</v>
      </c>
    </row>
    <row r="100" spans="4:11" x14ac:dyDescent="0.35">
      <c r="D100">
        <v>52</v>
      </c>
      <c r="E100">
        <v>0</v>
      </c>
      <c r="F100" t="s">
        <v>20</v>
      </c>
      <c r="G100">
        <v>0</v>
      </c>
      <c r="H100">
        <v>0</v>
      </c>
      <c r="I100">
        <v>-700</v>
      </c>
      <c r="J100">
        <v>93</v>
      </c>
      <c r="K100" t="s">
        <v>117</v>
      </c>
    </row>
    <row r="101" spans="4:11" x14ac:dyDescent="0.35">
      <c r="D101">
        <v>12</v>
      </c>
      <c r="E101">
        <v>11</v>
      </c>
      <c r="F101" t="s">
        <v>21</v>
      </c>
      <c r="G101">
        <v>8.1679999999999999E-3</v>
      </c>
      <c r="H101">
        <v>0.86660000000000004</v>
      </c>
      <c r="I101" s="18">
        <v>16500</v>
      </c>
      <c r="J101">
        <v>94</v>
      </c>
      <c r="K101" t="s">
        <v>118</v>
      </c>
    </row>
    <row r="102" spans="4:11" x14ac:dyDescent="0.35">
      <c r="D102">
        <v>9</v>
      </c>
      <c r="E102">
        <v>0</v>
      </c>
      <c r="F102" t="s">
        <v>21</v>
      </c>
      <c r="G102">
        <v>0.52900000000000003</v>
      </c>
      <c r="H102">
        <v>56.13</v>
      </c>
      <c r="I102" s="18">
        <v>132800</v>
      </c>
      <c r="J102">
        <v>95</v>
      </c>
      <c r="K102" t="s">
        <v>119</v>
      </c>
    </row>
    <row r="103" spans="4:11" x14ac:dyDescent="0.35">
      <c r="D103">
        <v>57</v>
      </c>
      <c r="E103">
        <v>11</v>
      </c>
      <c r="F103" t="s">
        <v>22</v>
      </c>
      <c r="G103">
        <v>2042</v>
      </c>
      <c r="H103">
        <v>5416</v>
      </c>
      <c r="I103">
        <v>0</v>
      </c>
      <c r="J103">
        <v>96</v>
      </c>
      <c r="K103" t="s">
        <v>120</v>
      </c>
    </row>
    <row r="104" spans="4:11" x14ac:dyDescent="0.35">
      <c r="D104">
        <v>11</v>
      </c>
      <c r="E104">
        <v>10</v>
      </c>
      <c r="F104" t="s">
        <v>21</v>
      </c>
      <c r="G104">
        <v>8.1679999999999999E-3</v>
      </c>
      <c r="H104">
        <v>0.86660000000000004</v>
      </c>
      <c r="I104" s="18">
        <v>16500</v>
      </c>
      <c r="J104">
        <v>97</v>
      </c>
      <c r="K104" t="s">
        <v>121</v>
      </c>
    </row>
    <row r="105" spans="4:11" x14ac:dyDescent="0.35">
      <c r="D105">
        <v>8</v>
      </c>
      <c r="E105">
        <v>0</v>
      </c>
      <c r="F105" t="s">
        <v>21</v>
      </c>
      <c r="G105">
        <v>0.52900000000000003</v>
      </c>
      <c r="H105">
        <v>56.13</v>
      </c>
      <c r="I105" s="18">
        <v>132800</v>
      </c>
      <c r="J105">
        <v>98</v>
      </c>
      <c r="K105" t="s">
        <v>122</v>
      </c>
    </row>
    <row r="106" spans="4:11" x14ac:dyDescent="0.35">
      <c r="D106">
        <v>58</v>
      </c>
      <c r="E106">
        <v>10</v>
      </c>
      <c r="F106" t="s">
        <v>22</v>
      </c>
      <c r="G106">
        <v>2042</v>
      </c>
      <c r="H106">
        <v>5416</v>
      </c>
      <c r="I106">
        <v>0</v>
      </c>
      <c r="J106">
        <v>99</v>
      </c>
      <c r="K106" t="s">
        <v>123</v>
      </c>
    </row>
    <row r="107" spans="4:11" x14ac:dyDescent="0.35">
      <c r="D107">
        <v>10</v>
      </c>
      <c r="E107">
        <v>12</v>
      </c>
      <c r="F107" t="s">
        <v>21</v>
      </c>
      <c r="G107">
        <v>8.1679999999999999E-3</v>
      </c>
      <c r="H107">
        <v>0.86660000000000004</v>
      </c>
      <c r="I107" s="18">
        <v>16500</v>
      </c>
      <c r="J107">
        <v>100</v>
      </c>
      <c r="K107" t="s">
        <v>124</v>
      </c>
    </row>
    <row r="108" spans="4:11" x14ac:dyDescent="0.35">
      <c r="D108">
        <v>7</v>
      </c>
      <c r="E108">
        <v>0</v>
      </c>
      <c r="F108" t="s">
        <v>21</v>
      </c>
      <c r="G108">
        <v>0.52900000000000003</v>
      </c>
      <c r="H108">
        <v>56.13</v>
      </c>
      <c r="I108" s="18">
        <v>132800</v>
      </c>
      <c r="J108">
        <v>101</v>
      </c>
      <c r="K108" t="s">
        <v>125</v>
      </c>
    </row>
    <row r="109" spans="4:11" x14ac:dyDescent="0.35">
      <c r="D109">
        <v>59</v>
      </c>
      <c r="E109">
        <v>12</v>
      </c>
      <c r="F109" t="s">
        <v>22</v>
      </c>
      <c r="G109">
        <v>2042</v>
      </c>
      <c r="H109">
        <v>5416</v>
      </c>
      <c r="I109">
        <v>0</v>
      </c>
      <c r="J109">
        <v>102</v>
      </c>
      <c r="K109" t="s">
        <v>126</v>
      </c>
    </row>
    <row r="110" spans="4:11" x14ac:dyDescent="0.35">
      <c r="D110">
        <v>15</v>
      </c>
      <c r="E110">
        <v>14</v>
      </c>
      <c r="F110" t="s">
        <v>21</v>
      </c>
      <c r="G110">
        <v>9.7199999999999999E-4</v>
      </c>
      <c r="H110">
        <v>0.80569999999999997</v>
      </c>
      <c r="I110" s="18">
        <v>18000</v>
      </c>
      <c r="J110">
        <v>103</v>
      </c>
      <c r="K110" t="s">
        <v>127</v>
      </c>
    </row>
    <row r="111" spans="4:11" x14ac:dyDescent="0.35">
      <c r="D111">
        <v>23</v>
      </c>
      <c r="E111">
        <v>0</v>
      </c>
      <c r="F111" t="s">
        <v>21</v>
      </c>
      <c r="G111">
        <v>5.2900000000000003E-2</v>
      </c>
      <c r="H111">
        <v>43.85</v>
      </c>
      <c r="I111" s="18">
        <v>132800</v>
      </c>
      <c r="J111">
        <v>104</v>
      </c>
      <c r="K111" t="s">
        <v>128</v>
      </c>
    </row>
    <row r="112" spans="4:11" x14ac:dyDescent="0.35">
      <c r="D112">
        <v>68</v>
      </c>
      <c r="E112">
        <v>14</v>
      </c>
      <c r="F112" t="s">
        <v>22</v>
      </c>
      <c r="G112">
        <v>4860</v>
      </c>
      <c r="H112" s="18">
        <v>12890</v>
      </c>
      <c r="I112">
        <v>0</v>
      </c>
      <c r="J112">
        <v>105</v>
      </c>
      <c r="K112" t="s">
        <v>129</v>
      </c>
    </row>
    <row r="113" spans="4:11" x14ac:dyDescent="0.35">
      <c r="D113">
        <v>14</v>
      </c>
      <c r="E113">
        <v>13</v>
      </c>
      <c r="F113" t="s">
        <v>21</v>
      </c>
      <c r="G113">
        <v>9.7199999999999999E-4</v>
      </c>
      <c r="H113">
        <v>0.80569999999999997</v>
      </c>
      <c r="I113" s="18">
        <v>18000</v>
      </c>
      <c r="J113">
        <v>106</v>
      </c>
      <c r="K113" t="s">
        <v>130</v>
      </c>
    </row>
    <row r="114" spans="4:11" x14ac:dyDescent="0.35">
      <c r="D114">
        <v>22</v>
      </c>
      <c r="E114">
        <v>0</v>
      </c>
      <c r="F114" t="s">
        <v>21</v>
      </c>
      <c r="G114">
        <v>5.2900000000000003E-2</v>
      </c>
      <c r="H114">
        <v>43.85</v>
      </c>
      <c r="I114" s="18">
        <v>132800</v>
      </c>
      <c r="J114">
        <v>107</v>
      </c>
      <c r="K114" t="s">
        <v>131</v>
      </c>
    </row>
    <row r="115" spans="4:11" x14ac:dyDescent="0.35">
      <c r="D115">
        <v>69</v>
      </c>
      <c r="E115">
        <v>13</v>
      </c>
      <c r="F115" t="s">
        <v>22</v>
      </c>
      <c r="G115">
        <v>4860</v>
      </c>
      <c r="H115" s="18">
        <v>12890</v>
      </c>
      <c r="I115">
        <v>0</v>
      </c>
      <c r="J115">
        <v>108</v>
      </c>
      <c r="K115" t="s">
        <v>132</v>
      </c>
    </row>
    <row r="116" spans="4:11" x14ac:dyDescent="0.35">
      <c r="D116">
        <v>13</v>
      </c>
      <c r="E116">
        <v>15</v>
      </c>
      <c r="F116" t="s">
        <v>21</v>
      </c>
      <c r="G116">
        <v>9.7199999999999999E-4</v>
      </c>
      <c r="H116">
        <v>0.80569999999999997</v>
      </c>
      <c r="I116" s="18">
        <v>18000</v>
      </c>
      <c r="J116">
        <v>109</v>
      </c>
      <c r="K116" t="s">
        <v>133</v>
      </c>
    </row>
    <row r="117" spans="4:11" x14ac:dyDescent="0.35">
      <c r="D117">
        <v>24</v>
      </c>
      <c r="E117">
        <v>0</v>
      </c>
      <c r="F117" t="s">
        <v>21</v>
      </c>
      <c r="G117">
        <v>5.2900000000000003E-2</v>
      </c>
      <c r="H117">
        <v>43.85</v>
      </c>
      <c r="I117" s="18">
        <v>132800</v>
      </c>
      <c r="J117">
        <v>110</v>
      </c>
      <c r="K117" t="s">
        <v>134</v>
      </c>
    </row>
    <row r="118" spans="4:11" x14ac:dyDescent="0.35">
      <c r="D118">
        <v>70</v>
      </c>
      <c r="E118">
        <v>15</v>
      </c>
      <c r="F118" t="s">
        <v>22</v>
      </c>
      <c r="G118">
        <v>4860</v>
      </c>
      <c r="H118" s="18">
        <v>12890</v>
      </c>
      <c r="I118">
        <v>0</v>
      </c>
      <c r="J118">
        <v>111</v>
      </c>
      <c r="K118" t="s">
        <v>135</v>
      </c>
    </row>
    <row r="119" spans="4:11" x14ac:dyDescent="0.35">
      <c r="D119">
        <v>21</v>
      </c>
      <c r="E119">
        <v>20</v>
      </c>
      <c r="F119" t="s">
        <v>21</v>
      </c>
      <c r="G119">
        <v>5.7129999999999995E-4</v>
      </c>
      <c r="H119">
        <v>0.44400000000000001</v>
      </c>
      <c r="I119" s="18">
        <v>13800</v>
      </c>
      <c r="J119">
        <v>112</v>
      </c>
      <c r="K119" t="s">
        <v>136</v>
      </c>
    </row>
    <row r="120" spans="4:11" x14ac:dyDescent="0.35">
      <c r="D120">
        <v>18</v>
      </c>
      <c r="E120">
        <v>0</v>
      </c>
      <c r="F120" t="s">
        <v>21</v>
      </c>
      <c r="G120">
        <v>5.2900000000000003E-2</v>
      </c>
      <c r="H120">
        <v>41.11</v>
      </c>
      <c r="I120" s="18">
        <v>132800</v>
      </c>
      <c r="J120">
        <v>113</v>
      </c>
      <c r="K120" t="s">
        <v>137</v>
      </c>
    </row>
    <row r="121" spans="4:11" x14ac:dyDescent="0.35">
      <c r="D121">
        <v>79</v>
      </c>
      <c r="E121">
        <v>20</v>
      </c>
      <c r="F121" t="s">
        <v>22</v>
      </c>
      <c r="G121">
        <v>2857</v>
      </c>
      <c r="H121">
        <v>7577</v>
      </c>
      <c r="I121">
        <v>0</v>
      </c>
      <c r="J121">
        <v>114</v>
      </c>
      <c r="K121" t="s">
        <v>138</v>
      </c>
    </row>
    <row r="122" spans="4:11" x14ac:dyDescent="0.35">
      <c r="D122">
        <v>20</v>
      </c>
      <c r="E122">
        <v>19</v>
      </c>
      <c r="F122" t="s">
        <v>21</v>
      </c>
      <c r="G122">
        <v>5.7129999999999995E-4</v>
      </c>
      <c r="H122">
        <v>0.44400000000000001</v>
      </c>
      <c r="I122" s="18">
        <v>13800</v>
      </c>
      <c r="J122">
        <v>115</v>
      </c>
      <c r="K122" t="s">
        <v>139</v>
      </c>
    </row>
    <row r="123" spans="4:11" x14ac:dyDescent="0.35">
      <c r="D123">
        <v>17</v>
      </c>
      <c r="E123">
        <v>0</v>
      </c>
      <c r="F123" t="s">
        <v>21</v>
      </c>
      <c r="G123">
        <v>5.2900000000000003E-2</v>
      </c>
      <c r="H123">
        <v>41.11</v>
      </c>
      <c r="I123" s="18">
        <v>132800</v>
      </c>
      <c r="J123">
        <v>116</v>
      </c>
      <c r="K123" t="s">
        <v>140</v>
      </c>
    </row>
    <row r="124" spans="4:11" x14ac:dyDescent="0.35">
      <c r="D124">
        <v>80</v>
      </c>
      <c r="E124">
        <v>19</v>
      </c>
      <c r="F124" t="s">
        <v>22</v>
      </c>
      <c r="G124">
        <v>2857</v>
      </c>
      <c r="H124">
        <v>7577</v>
      </c>
      <c r="I124">
        <v>0</v>
      </c>
      <c r="J124">
        <v>117</v>
      </c>
      <c r="K124" t="s">
        <v>141</v>
      </c>
    </row>
    <row r="125" spans="4:11" x14ac:dyDescent="0.35">
      <c r="D125">
        <v>19</v>
      </c>
      <c r="E125">
        <v>21</v>
      </c>
      <c r="F125" t="s">
        <v>21</v>
      </c>
      <c r="G125">
        <v>5.7129999999999995E-4</v>
      </c>
      <c r="H125">
        <v>0.44400000000000001</v>
      </c>
      <c r="I125" s="18">
        <v>13800</v>
      </c>
      <c r="J125">
        <v>118</v>
      </c>
      <c r="K125" t="s">
        <v>142</v>
      </c>
    </row>
    <row r="126" spans="4:11" x14ac:dyDescent="0.35">
      <c r="D126">
        <v>16</v>
      </c>
      <c r="E126">
        <v>0</v>
      </c>
      <c r="F126" t="s">
        <v>21</v>
      </c>
      <c r="G126">
        <v>5.2900000000000003E-2</v>
      </c>
      <c r="H126">
        <v>41.11</v>
      </c>
      <c r="I126" s="18">
        <v>132800</v>
      </c>
      <c r="J126">
        <v>119</v>
      </c>
      <c r="K126" t="s">
        <v>143</v>
      </c>
    </row>
    <row r="127" spans="4:11" x14ac:dyDescent="0.35">
      <c r="D127">
        <v>81</v>
      </c>
      <c r="E127">
        <v>21</v>
      </c>
      <c r="F127" t="s">
        <v>22</v>
      </c>
      <c r="G127">
        <v>2857</v>
      </c>
      <c r="H127">
        <v>7577</v>
      </c>
      <c r="I127">
        <v>0</v>
      </c>
      <c r="J127">
        <v>120</v>
      </c>
      <c r="K12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RLC</vt:lpstr>
      <vt:lpstr>SRC</vt:lpstr>
      <vt:lpstr>OUT</vt:lpstr>
      <vt:lpstr>SW</vt:lpstr>
      <vt:lpstr>Sheet2</vt:lpstr>
      <vt:lpstr>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2023-12-12T13:42:29Z</dcterms:modified>
</cp:coreProperties>
</file>