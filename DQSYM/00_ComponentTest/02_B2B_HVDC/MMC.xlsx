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816AFFBD-41E6-4090-905A-239E4882AFE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LC" sheetId="7" r:id="rId1"/>
    <sheet name="SRC" sheetId="8" r:id="rId2"/>
    <sheet name="OUT" sheetId="10" r:id="rId3"/>
    <sheet name="SW" sheetId="9" r:id="rId4"/>
    <sheet name="Sheet2" sheetId="12" r:id="rId5"/>
  </sheets>
  <definedNames>
    <definedName name="_xlnm._FilterDatabase" localSheetId="0" hidden="1">RLC!$A$1:$H$1</definedName>
    <definedName name="_xlnm._FilterDatabase" localSheetId="1" hidden="1">SRC!$A$1:$F$8</definedName>
    <definedName name="NODES">RLC!$A$2:$B$85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  <c r="D3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G5" i="10"/>
  <c r="G6" i="10"/>
  <c r="G7" i="10"/>
  <c r="G8" i="10"/>
  <c r="G9" i="10"/>
  <c r="G10" i="10"/>
  <c r="G32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D25" i="10"/>
  <c r="D26" i="10"/>
</calcChain>
</file>

<file path=xl/sharedStrings.xml><?xml version="1.0" encoding="utf-8"?>
<sst xmlns="http://schemas.openxmlformats.org/spreadsheetml/2006/main" count="141" uniqueCount="71">
  <si>
    <t>type</t>
  </si>
  <si>
    <t>N2</t>
  </si>
  <si>
    <t>R</t>
  </si>
  <si>
    <t>C(uF)/U(V)</t>
  </si>
  <si>
    <t>N1</t>
  </si>
  <si>
    <t>Nobr</t>
  </si>
  <si>
    <t>Node1</t>
  </si>
  <si>
    <t>Node2</t>
  </si>
  <si>
    <t>U/I</t>
  </si>
  <si>
    <t>phase</t>
  </si>
  <si>
    <t>freq</t>
  </si>
  <si>
    <t>status</t>
  </si>
  <si>
    <t>L/Xl</t>
  </si>
  <si>
    <t>no_I</t>
  </si>
  <si>
    <t>no_U</t>
  </si>
  <si>
    <t>Type</t>
  </si>
  <si>
    <t>U</t>
  </si>
  <si>
    <t>Branch</t>
  </si>
  <si>
    <t>TXT</t>
  </si>
  <si>
    <t>L (mH)</t>
  </si>
  <si>
    <t>S</t>
  </si>
  <si>
    <t>phase_A:</t>
  </si>
  <si>
    <t>phase_B:</t>
  </si>
  <si>
    <t>phase_C:</t>
  </si>
  <si>
    <t>RL_src</t>
  </si>
  <si>
    <t>Tr</t>
  </si>
  <si>
    <t>transfo_1_winding_1:</t>
  </si>
  <si>
    <t>MVA-60</t>
  </si>
  <si>
    <t>Hz</t>
  </si>
  <si>
    <t>kV-500</t>
  </si>
  <si>
    <t>kV</t>
  </si>
  <si>
    <t>transfo_1_winding_2:</t>
  </si>
  <si>
    <t>P</t>
  </si>
  <si>
    <t>transfo_1_Lm:</t>
  </si>
  <si>
    <t>transfo_2_winding_1:</t>
  </si>
  <si>
    <t>transfo_2_winding_2:</t>
  </si>
  <si>
    <t>transfo_2_Lm:</t>
  </si>
  <si>
    <t>transfo_3_winding_1:</t>
  </si>
  <si>
    <t>transfo_3_winding_2:</t>
  </si>
  <si>
    <t>transfo_3_Lm:</t>
  </si>
  <si>
    <t>RL_line</t>
  </si>
  <si>
    <t>ShuntRL4_0</t>
  </si>
  <si>
    <t>Desc</t>
  </si>
  <si>
    <t>MVA</t>
  </si>
  <si>
    <t>MMC/Series RLC Branch10</t>
  </si>
  <si>
    <t>MMC/Series RLC Branch11</t>
  </si>
  <si>
    <t>MMC/Series RLC Branch12</t>
  </si>
  <si>
    <t>MMC/Series RLC Branch6</t>
  </si>
  <si>
    <t>MMC/Series RLC Branch8</t>
  </si>
  <si>
    <t>MMC/Series RLC Branch9</t>
  </si>
  <si>
    <t>snubber: MMC/Half-Bridge MMC Am/Model/Dp</t>
  </si>
  <si>
    <t>snubber: MMC/Half-Bridge MMC Am/Model/Dp1</t>
  </si>
  <si>
    <t>snubber: MMC/Half-Bridge MMC Ap/Model/Dp</t>
  </si>
  <si>
    <t>snubber: MMC/Half-Bridge MMC Ap/Model/Dp1</t>
  </si>
  <si>
    <t>snubber: MMC/Half-Bridge MMC Bm/Model/Dp</t>
  </si>
  <si>
    <t>snubber: MMC/Half-Bridge MMC Bm/Model/Dp1</t>
  </si>
  <si>
    <t>snubber: MMC/Half-Bridge MMC Bp/Model/Dp</t>
  </si>
  <si>
    <t>snubber: MMC/Half-Bridge MMC Bp/Model/Dp1</t>
  </si>
  <si>
    <t>snubber: MMC/Half-Bridge MMC Cm/Model/Dp</t>
  </si>
  <si>
    <t>snubber: MMC/Half-Bridge MMC Cm/Model/Dp1</t>
  </si>
  <si>
    <t>snubber: MMC/Half-Bridge MMC Cp/Model/Dp</t>
  </si>
  <si>
    <t>snubber: MMC/Half-Bridge MMC Cp/Model/Dp1</t>
  </si>
  <si>
    <t>transfo_1_winding_1: MMC/Tr1</t>
  </si>
  <si>
    <t>transfo_1_winding_2: MMC/Tr1</t>
  </si>
  <si>
    <t>transfo_1_Lm: MMC/Tr1</t>
  </si>
  <si>
    <t>transfo_2_winding_1: MMC/Tr1</t>
  </si>
  <si>
    <t>transfo_2_winding_2: MMC/Tr1</t>
  </si>
  <si>
    <t>transfo_2_Lm: MMC/Tr1</t>
  </si>
  <si>
    <t>transfo_3_winding_1: MMC/Tr1</t>
  </si>
  <si>
    <t>transfo_3_winding_2: MMC/Tr1</t>
  </si>
  <si>
    <t>transfo_3_Lm: MMC/Tr1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</si>
</sst>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04040"/>
      <name val="Consolas"/>
      <family val="3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7" fillId="6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Alignment="1">
      <alignment horizontal="center"/>
    </xf>
    <xf numFmtId="0" fontId="6" fillId="0" borderId="0" xfId="0" applyFont="1" applyAlignment="1">
      <alignment horizontal="left" vertical="center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8" xfId="1" applyFont="1" applyBorder="1" applyAlignment="1">
      <alignment horizontal="center"/>
    </xf>
    <xf numFmtId="0" fontId="3" fillId="2" borderId="9" xfId="1" applyFont="1" applyBorder="1" applyAlignment="1">
      <alignment horizontal="center"/>
    </xf>
    <xf numFmtId="0" fontId="3" fillId="2" borderId="10" xfId="1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2" xfId="2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5" borderId="21" xfId="4" applyBorder="1" applyAlignment="1">
      <alignment horizontal="center"/>
    </xf>
    <xf numFmtId="0" fontId="5" fillId="5" borderId="22" xfId="4" applyBorder="1" applyAlignment="1">
      <alignment horizontal="center"/>
    </xf>
    <xf numFmtId="0" fontId="5" fillId="5" borderId="23" xfId="4" applyBorder="1" applyAlignment="1">
      <alignment horizontal="center"/>
    </xf>
    <xf numFmtId="0" fontId="5" fillId="4" borderId="12" xfId="3" applyBorder="1" applyAlignment="1">
      <alignment horizontal="center"/>
    </xf>
    <xf numFmtId="0" fontId="5" fillId="4" borderId="13" xfId="3" applyBorder="1" applyAlignment="1">
      <alignment horizontal="center"/>
    </xf>
    <xf numFmtId="0" fontId="5" fillId="4" borderId="14" xfId="3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0" xfId="0" applyNumberFormat="1"/>
    <xf numFmtId="11" fontId="0" fillId="0" borderId="0" xfId="0" applyNumberFormat="1"/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4" xfId="0" applyNumberFormat="1" applyBorder="1" applyAlignment="1">
      <alignment horizontal="center"/>
    </xf>
    <xf numFmtId="0" fontId="7" fillId="6" borderId="0" xfId="5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6">
    <cellStyle name="Accent2" xfId="3" builtinId="33"/>
    <cellStyle name="Accent5" xfId="4" builtinId="45"/>
    <cellStyle name="Input" xfId="1" builtinId="20"/>
    <cellStyle name="Neutral" xfId="5" builtinId="28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178212</xdr:colOff>
      <xdr:row>6</xdr:row>
      <xdr:rowOff>163581</xdr:rowOff>
    </xdr:from>
    <xdr:ext cx="8772525" cy="334681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8ECB27-D1CE-6BAA-EBB2-231B70C0ACD0}"/>
            </a:ext>
          </a:extLst>
        </xdr:cNvPr>
        <xdr:cNvSpPr txBox="1"/>
      </xdr:nvSpPr>
      <xdr:spPr>
        <a:xfrm>
          <a:off x="8024603" y="1256885"/>
          <a:ext cx="8772525" cy="33468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RLC branch or line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C, Nobr] for transformer magnetizing branch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transformer winding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[node1, node2, type, R, L, U, Nobr] for mutual inductances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node1: First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node2: Second node number of the branch. The node number must be positive or zero. Decimal node numbers are allowed.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type: Integer indicating the type of connection of RLC elements, or, if negative, the transmission line length: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0: Series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1: Parallel RLC element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2: Transformer winding</a:t>
          </a:r>
        </a:p>
        <a:p>
          <a:pPr lvl="2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 = 3: Coupled (mutual) winding</a:t>
          </a:r>
        </a:p>
        <a:p>
          <a:pPr lvl="1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If type is negative, the transmission line is modeled by a PI section of length |type|. See details below.</a:t>
          </a:r>
        </a:p>
        <a:p>
          <a:pPr lvl="1" algn="l">
            <a:buFont typeface="Arial" panose="020B0604020202020204" pitchFamily="34" charset="0"/>
            <a:buChar char="•"/>
          </a:pPr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For a mutual inductor or a transformer having N windings, N+1 consecutive lines must be specified in RLC matrix: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 lines with type = 2 or type = 3; (one line per winding). Each line specifies R/L/U or R/Xl/Xc where [R/L, R/Xl = winding resistance and leakage reactance for a transformers or winding resistance and self reactance for mutually coupled windings. U is the nominal voltage of transformer winding (specify 0 if type = 3).</a:t>
          </a:r>
        </a:p>
        <a:p>
          <a:pPr lvl="1" algn="l">
            <a:buFont typeface="+mj-lt"/>
            <a:buAutoNum type="arabicPeriod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One extra line with type = 1 for the magnetizing branch of a transformer (parallel Rm/Lm or Rm/Xm) or one line with type = 0 for a mutual impedance (series Rm/Lm or Rm/Xm).</a:t>
          </a:r>
        </a:p>
        <a:p>
          <a:endParaRPr lang="en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504825</xdr:colOff>
      <xdr:row>2</xdr:row>
      <xdr:rowOff>123825</xdr:rowOff>
    </xdr:from>
    <xdr:ext cx="8772525" cy="301236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C27579-FE7A-48F3-A9D6-36D5336F2FD6}"/>
            </a:ext>
          </a:extLst>
        </xdr:cNvPr>
        <xdr:cNvSpPr txBox="1"/>
      </xdr:nvSpPr>
      <xdr:spPr>
        <a:xfrm>
          <a:off x="5991225" y="504825"/>
          <a:ext cx="8772525" cy="301236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Three formats are allowed: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Five columns: All sources are generating the same frequency specified by freq_sys.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Six columns: The frequency of each source is specified in column 6.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Seven columns: The seventh column is used to specify the type of nonlinear element modeled by the current source.</a:t>
          </a: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Each line of the source matrix must be specified according to the following format:</a:t>
          </a:r>
        </a:p>
        <a:p>
          <a:pPr lvl="1"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[ node1, node2, type, amp, phase, freq, model ] </a:t>
          </a:r>
        </a:p>
        <a:p>
          <a:pPr lvl="1" algn="l"/>
          <a:endParaRPr lang="de-DE" b="0" i="0">
            <a:solidFill>
              <a:srgbClr val="404040"/>
            </a:solidFill>
            <a:effectLst/>
            <a:latin typeface="Arial" panose="020B0604020202020204" pitchFamily="34" charset="0"/>
          </a:endParaRPr>
        </a:p>
        <a:p>
          <a:pPr algn="l"/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node1, node2: Node numbers corresponding to the source terminals. These are the polarity conventions: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Voltage source: node1 is the positive terminal.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Current source: Positive current flowing from node1 to node2 inside the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type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indicating the type of source: 0 for voltage source, 1 for current source.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amp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Amplitude of the AC or DC voltage or current (V or A).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phase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Phase of the AC voltage or current (degree).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 Frequency (Hz) of the generated voltage or current. Default value is 60 Hz. For a DC voltage or current source, specify phase = 0 and freq = 0. amp can be set to a negative value. The generated signals are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amp * sin(2</a:t>
          </a:r>
          <a:r>
            <a:rPr lang="el-GR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π*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freq*t + phase)for AC, amp for DC.</a:t>
          </a:r>
        </a:p>
        <a:p>
          <a:pPr marL="171450" indent="-171450" algn="l">
            <a:buFont typeface="Arial" panose="020B0604020202020204" pitchFamily="34" charset="0"/>
            <a:buChar char="•"/>
          </a:pPr>
          <a:r>
            <a:rPr lang="de-DE" b="1" i="0">
              <a:solidFill>
                <a:srgbClr val="404040"/>
              </a:solidFill>
              <a:effectLst/>
              <a:latin typeface="Arial" panose="020B0604020202020204" pitchFamily="34" charset="0"/>
            </a:rPr>
            <a:t>model</a:t>
          </a:r>
          <a:r>
            <a:rPr lang="de-DE" b="0" i="0">
              <a:solidFill>
                <a:srgbClr val="404040"/>
              </a:solidFill>
              <a:effectLst/>
              <a:latin typeface="Arial" panose="020B0604020202020204" pitchFamily="34" charset="0"/>
            </a:rPr>
            <a:t>: Integer specifying the type of nonlinear element modeled by the current source (saturable inductance, thyristor, switch,...). Used by power_analyze only.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133350</xdr:rowOff>
    </xdr:from>
    <xdr:to>
      <xdr:col>20</xdr:col>
      <xdr:colOff>522969</xdr:colOff>
      <xdr:row>26</xdr:row>
      <xdr:rowOff>75636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2745C-B186-7918-6A84-E0B95FC6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514350"/>
          <a:ext cx="7247619" cy="4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C108-7087-49D1-BC33-943B282609DD}">
  <dimension ref="A1:J85"/>
  <sheetViews>
    <sheetView tabSelected="1" zoomScale="115" zoomScaleNormal="115" workbookViewId="0">
      <selection activeCell="F30" sqref="F30"/>
    </sheetView>
  </sheetViews>
  <sheetFormatPr defaultRowHeight="14.5" x14ac:dyDescent="0.35"/>
  <cols>
    <col min="1" max="3" width="9.1796875" style="1"/>
    <col min="4" max="4" width="11.26953125" style="1" customWidth="1"/>
    <col min="5" max="5" width="9.1796875" style="1"/>
    <col min="6" max="6" width="12.26953125" style="1" customWidth="1"/>
    <col min="7" max="7" width="9.1796875" style="1"/>
    <col min="8" max="8" width="42.90625" style="1" customWidth="1"/>
    <col min="10" max="10" width="18" customWidth="1"/>
  </cols>
  <sheetData>
    <row r="1" spans="1:10" x14ac:dyDescent="0.35">
      <c r="A1" s="9" t="s">
        <v>4</v>
      </c>
      <c r="B1" s="10" t="s">
        <v>1</v>
      </c>
      <c r="C1" s="10" t="s">
        <v>0</v>
      </c>
      <c r="D1" s="10" t="s">
        <v>2</v>
      </c>
      <c r="E1" s="10" t="s">
        <v>19</v>
      </c>
      <c r="F1" s="10" t="s">
        <v>3</v>
      </c>
      <c r="G1" s="11" t="s">
        <v>5</v>
      </c>
      <c r="H1" s="20" t="s">
        <v>42</v>
      </c>
    </row>
    <row r="2" spans="1:10" x14ac:dyDescent="0.35">
      <c r="A2" s="35">
        <v>47</v>
      </c>
      <c r="B2" s="35">
        <v>33</v>
      </c>
      <c r="C2" s="47">
        <v>0</v>
      </c>
      <c r="D2" s="35">
        <v>0.1663</v>
      </c>
      <c r="E2" s="39">
        <v>52.95</v>
      </c>
      <c r="F2" s="35">
        <v>0</v>
      </c>
      <c r="G2" s="1">
        <v>1</v>
      </c>
      <c r="H2" s="46" t="s">
        <v>44</v>
      </c>
      <c r="I2" s="1"/>
      <c r="J2" s="1"/>
    </row>
    <row r="3" spans="1:10" x14ac:dyDescent="0.35">
      <c r="A3" s="35">
        <v>46</v>
      </c>
      <c r="B3" s="35">
        <v>37</v>
      </c>
      <c r="C3" s="47">
        <v>0</v>
      </c>
      <c r="D3" s="35">
        <v>0.1663</v>
      </c>
      <c r="E3" s="39">
        <v>52.95</v>
      </c>
      <c r="F3" s="35">
        <v>0</v>
      </c>
      <c r="G3" s="1">
        <v>2</v>
      </c>
      <c r="H3" s="46" t="s">
        <v>45</v>
      </c>
      <c r="I3" s="42"/>
      <c r="J3" s="1"/>
    </row>
    <row r="4" spans="1:10" x14ac:dyDescent="0.35">
      <c r="A4" s="35">
        <v>45</v>
      </c>
      <c r="B4" s="35">
        <v>42</v>
      </c>
      <c r="C4" s="47">
        <v>0</v>
      </c>
      <c r="D4" s="35">
        <v>0.1663</v>
      </c>
      <c r="E4" s="39">
        <v>52.95</v>
      </c>
      <c r="F4" s="35">
        <v>0</v>
      </c>
      <c r="G4" s="1">
        <v>3</v>
      </c>
      <c r="H4" s="46" t="s">
        <v>46</v>
      </c>
      <c r="I4" s="43"/>
      <c r="J4" s="1"/>
    </row>
    <row r="5" spans="1:10" x14ac:dyDescent="0.35">
      <c r="A5" s="35">
        <v>31</v>
      </c>
      <c r="B5" s="35">
        <v>47</v>
      </c>
      <c r="C5" s="47">
        <v>0</v>
      </c>
      <c r="D5" s="35">
        <v>0.1663</v>
      </c>
      <c r="E5" s="39">
        <v>52.95</v>
      </c>
      <c r="F5" s="35">
        <v>0</v>
      </c>
      <c r="G5" s="1">
        <v>4</v>
      </c>
      <c r="H5" s="46" t="s">
        <v>47</v>
      </c>
      <c r="I5" s="44"/>
      <c r="J5" s="1"/>
    </row>
    <row r="6" spans="1:10" x14ac:dyDescent="0.35">
      <c r="A6" s="35">
        <v>35</v>
      </c>
      <c r="B6" s="35">
        <v>46</v>
      </c>
      <c r="C6" s="47">
        <v>0</v>
      </c>
      <c r="D6" s="35">
        <v>0.1663</v>
      </c>
      <c r="E6" s="39">
        <v>52.95</v>
      </c>
      <c r="F6" s="35">
        <v>0</v>
      </c>
      <c r="G6" s="1">
        <v>5</v>
      </c>
      <c r="H6" s="46" t="s">
        <v>48</v>
      </c>
      <c r="I6" s="1"/>
      <c r="J6" s="1"/>
    </row>
    <row r="7" spans="1:10" x14ac:dyDescent="0.35">
      <c r="A7" s="35">
        <v>40</v>
      </c>
      <c r="B7" s="35">
        <v>45</v>
      </c>
      <c r="C7" s="47">
        <v>0</v>
      </c>
      <c r="D7" s="35">
        <v>0.1663</v>
      </c>
      <c r="E7" s="39">
        <v>52.95</v>
      </c>
      <c r="F7" s="35">
        <v>0</v>
      </c>
      <c r="G7" s="1">
        <v>6</v>
      </c>
      <c r="H7" s="46" t="s">
        <v>49</v>
      </c>
      <c r="I7" s="1"/>
      <c r="J7" s="1"/>
    </row>
    <row r="8" spans="1:10" x14ac:dyDescent="0.35">
      <c r="A8" s="35">
        <v>33</v>
      </c>
      <c r="B8" s="35">
        <v>4</v>
      </c>
      <c r="C8" s="47">
        <v>0</v>
      </c>
      <c r="D8" s="40">
        <v>1000000</v>
      </c>
      <c r="E8" s="39">
        <v>0</v>
      </c>
      <c r="F8" s="35">
        <v>0</v>
      </c>
      <c r="G8" s="1">
        <v>7</v>
      </c>
      <c r="H8" s="46" t="s">
        <v>50</v>
      </c>
      <c r="I8" s="1"/>
      <c r="J8" s="1"/>
    </row>
    <row r="9" spans="1:10" x14ac:dyDescent="0.35">
      <c r="A9" s="35">
        <v>3</v>
      </c>
      <c r="B9" s="35">
        <v>33</v>
      </c>
      <c r="C9" s="47">
        <v>0</v>
      </c>
      <c r="D9" s="40">
        <v>1000000</v>
      </c>
      <c r="E9" s="39">
        <v>0</v>
      </c>
      <c r="F9" s="35">
        <v>0</v>
      </c>
      <c r="G9" s="1">
        <v>8</v>
      </c>
      <c r="H9" s="46" t="s">
        <v>51</v>
      </c>
      <c r="I9" s="1"/>
      <c r="J9" s="1"/>
    </row>
    <row r="10" spans="1:10" x14ac:dyDescent="0.35">
      <c r="A10" s="35">
        <v>39</v>
      </c>
      <c r="B10" s="35">
        <v>8</v>
      </c>
      <c r="C10" s="47">
        <v>0</v>
      </c>
      <c r="D10" s="40">
        <v>1000000</v>
      </c>
      <c r="E10" s="39">
        <v>0</v>
      </c>
      <c r="F10" s="35">
        <v>0</v>
      </c>
      <c r="G10" s="1">
        <v>9</v>
      </c>
      <c r="H10" s="46" t="s">
        <v>52</v>
      </c>
      <c r="I10" s="1"/>
      <c r="J10" s="1"/>
    </row>
    <row r="11" spans="1:10" x14ac:dyDescent="0.35">
      <c r="A11" s="35">
        <v>7</v>
      </c>
      <c r="B11" s="35">
        <v>39</v>
      </c>
      <c r="C11" s="47">
        <v>0</v>
      </c>
      <c r="D11" s="40">
        <v>1000000</v>
      </c>
      <c r="E11" s="39">
        <v>0</v>
      </c>
      <c r="F11" s="35">
        <v>0</v>
      </c>
      <c r="G11" s="1">
        <v>10</v>
      </c>
      <c r="H11" s="46" t="s">
        <v>53</v>
      </c>
      <c r="I11" s="1"/>
      <c r="J11" s="1"/>
    </row>
    <row r="12" spans="1:10" x14ac:dyDescent="0.35">
      <c r="A12" s="35">
        <v>37</v>
      </c>
      <c r="B12" s="35">
        <v>12</v>
      </c>
      <c r="C12" s="47">
        <v>0</v>
      </c>
      <c r="D12" s="40">
        <v>1000000</v>
      </c>
      <c r="E12" s="39">
        <v>0</v>
      </c>
      <c r="F12" s="35">
        <v>0</v>
      </c>
      <c r="G12" s="1">
        <v>11</v>
      </c>
      <c r="H12" s="46" t="s">
        <v>54</v>
      </c>
      <c r="I12" s="1"/>
      <c r="J12" s="1"/>
    </row>
    <row r="13" spans="1:10" x14ac:dyDescent="0.35">
      <c r="A13" s="35">
        <v>11</v>
      </c>
      <c r="B13" s="35">
        <v>37</v>
      </c>
      <c r="C13" s="47">
        <v>0</v>
      </c>
      <c r="D13" s="40">
        <v>1000000</v>
      </c>
      <c r="E13" s="39">
        <v>0</v>
      </c>
      <c r="F13" s="35">
        <v>0</v>
      </c>
      <c r="G13" s="1">
        <v>12</v>
      </c>
      <c r="H13" s="46" t="s">
        <v>55</v>
      </c>
      <c r="I13" s="1"/>
      <c r="J13" s="1"/>
    </row>
    <row r="14" spans="1:10" x14ac:dyDescent="0.35">
      <c r="A14" s="35">
        <v>39</v>
      </c>
      <c r="B14" s="35">
        <v>16</v>
      </c>
      <c r="C14" s="47">
        <v>0</v>
      </c>
      <c r="D14" s="40">
        <v>1000000</v>
      </c>
      <c r="E14" s="39">
        <v>0</v>
      </c>
      <c r="F14" s="35">
        <v>0</v>
      </c>
      <c r="G14" s="1">
        <v>13</v>
      </c>
      <c r="H14" s="46" t="s">
        <v>56</v>
      </c>
      <c r="I14" s="1"/>
      <c r="J14" s="1"/>
    </row>
    <row r="15" spans="1:10" x14ac:dyDescent="0.35">
      <c r="A15" s="35">
        <v>15</v>
      </c>
      <c r="B15" s="35">
        <v>39</v>
      </c>
      <c r="C15" s="47">
        <v>0</v>
      </c>
      <c r="D15" s="40">
        <v>1000000</v>
      </c>
      <c r="E15" s="39">
        <v>0</v>
      </c>
      <c r="F15" s="35">
        <v>0</v>
      </c>
      <c r="G15" s="1">
        <v>14</v>
      </c>
      <c r="H15" s="46" t="s">
        <v>57</v>
      </c>
      <c r="I15" s="1"/>
      <c r="J15" s="1"/>
    </row>
    <row r="16" spans="1:10" x14ac:dyDescent="0.35">
      <c r="A16" s="35">
        <v>42</v>
      </c>
      <c r="B16" s="35">
        <v>20</v>
      </c>
      <c r="C16" s="47">
        <v>0</v>
      </c>
      <c r="D16" s="40">
        <v>1000000</v>
      </c>
      <c r="E16" s="39">
        <v>0</v>
      </c>
      <c r="F16" s="35">
        <v>0</v>
      </c>
      <c r="G16" s="1">
        <v>15</v>
      </c>
      <c r="H16" s="46" t="s">
        <v>58</v>
      </c>
      <c r="I16" s="1"/>
      <c r="J16" s="1"/>
    </row>
    <row r="17" spans="1:10" x14ac:dyDescent="0.35">
      <c r="A17" s="35">
        <v>19</v>
      </c>
      <c r="B17" s="35">
        <v>42</v>
      </c>
      <c r="C17" s="47">
        <v>0</v>
      </c>
      <c r="D17" s="40">
        <v>1000000</v>
      </c>
      <c r="E17" s="39">
        <v>0</v>
      </c>
      <c r="F17" s="35">
        <v>0</v>
      </c>
      <c r="G17" s="1">
        <v>16</v>
      </c>
      <c r="H17" s="46" t="s">
        <v>59</v>
      </c>
      <c r="I17" s="1"/>
      <c r="J17" s="1"/>
    </row>
    <row r="18" spans="1:10" x14ac:dyDescent="0.35">
      <c r="A18" s="35">
        <v>39</v>
      </c>
      <c r="B18" s="35">
        <v>24</v>
      </c>
      <c r="C18" s="47">
        <v>0</v>
      </c>
      <c r="D18" s="40">
        <v>1000000</v>
      </c>
      <c r="E18" s="39">
        <v>0</v>
      </c>
      <c r="F18" s="35">
        <v>0</v>
      </c>
      <c r="G18" s="1">
        <v>17</v>
      </c>
      <c r="H18" s="46" t="s">
        <v>60</v>
      </c>
      <c r="I18" s="1"/>
      <c r="J18" s="1"/>
    </row>
    <row r="19" spans="1:10" x14ac:dyDescent="0.35">
      <c r="A19" s="35">
        <v>23</v>
      </c>
      <c r="B19" s="35">
        <v>39</v>
      </c>
      <c r="C19" s="47">
        <v>0</v>
      </c>
      <c r="D19" s="40">
        <v>1000000</v>
      </c>
      <c r="E19" s="39">
        <v>0</v>
      </c>
      <c r="F19" s="35">
        <v>0</v>
      </c>
      <c r="G19" s="1">
        <v>18</v>
      </c>
      <c r="H19" s="46" t="s">
        <v>61</v>
      </c>
      <c r="I19" s="1"/>
      <c r="J19" s="1"/>
    </row>
    <row r="20" spans="1:10" x14ac:dyDescent="0.35">
      <c r="A20" s="1">
        <v>53</v>
      </c>
      <c r="B20" s="1">
        <v>0</v>
      </c>
      <c r="C20" s="48">
        <v>2</v>
      </c>
      <c r="D20" s="1">
        <v>0.1663</v>
      </c>
      <c r="E20" s="1">
        <v>21.18</v>
      </c>
      <c r="F20" s="41">
        <v>192300</v>
      </c>
      <c r="G20" s="1">
        <v>19</v>
      </c>
      <c r="H20" s="46" t="s">
        <v>62</v>
      </c>
      <c r="I20" s="1"/>
      <c r="J20" s="1"/>
    </row>
    <row r="21" spans="1:10" x14ac:dyDescent="0.35">
      <c r="A21" s="15">
        <v>47</v>
      </c>
      <c r="B21" s="1">
        <v>0</v>
      </c>
      <c r="C21" s="48">
        <v>2</v>
      </c>
      <c r="D21" s="1">
        <v>0.1663</v>
      </c>
      <c r="E21" s="1">
        <v>21.18</v>
      </c>
      <c r="F21" s="41">
        <v>192300</v>
      </c>
      <c r="G21" s="1">
        <v>20</v>
      </c>
      <c r="H21" s="46" t="s">
        <v>63</v>
      </c>
      <c r="I21" s="1"/>
      <c r="J21" s="1"/>
    </row>
    <row r="22" spans="1:10" x14ac:dyDescent="0.35">
      <c r="A22" s="15">
        <v>79</v>
      </c>
      <c r="B22" s="1">
        <v>0</v>
      </c>
      <c r="C22" s="48">
        <v>1</v>
      </c>
      <c r="D22" s="45">
        <v>110900</v>
      </c>
      <c r="E22" s="45">
        <v>353000</v>
      </c>
      <c r="F22" s="14">
        <v>0</v>
      </c>
      <c r="G22" s="1">
        <v>21</v>
      </c>
      <c r="H22" s="46" t="s">
        <v>64</v>
      </c>
      <c r="I22" s="1"/>
      <c r="J22" s="1"/>
    </row>
    <row r="23" spans="1:10" x14ac:dyDescent="0.35">
      <c r="A23" s="15">
        <v>54</v>
      </c>
      <c r="B23" s="1">
        <v>0</v>
      </c>
      <c r="C23" s="48">
        <v>2</v>
      </c>
      <c r="D23" s="1">
        <v>0.1663</v>
      </c>
      <c r="E23" s="1">
        <v>21.18</v>
      </c>
      <c r="F23" s="41">
        <v>192300</v>
      </c>
      <c r="G23" s="1">
        <v>22</v>
      </c>
      <c r="H23" s="46" t="s">
        <v>65</v>
      </c>
      <c r="I23" s="1"/>
      <c r="J23" s="1"/>
    </row>
    <row r="24" spans="1:10" x14ac:dyDescent="0.35">
      <c r="A24" s="15">
        <v>46</v>
      </c>
      <c r="B24" s="1">
        <v>0</v>
      </c>
      <c r="C24" s="48">
        <v>2</v>
      </c>
      <c r="D24" s="1">
        <v>0.1663</v>
      </c>
      <c r="E24" s="1">
        <v>21.18</v>
      </c>
      <c r="F24" s="41">
        <v>192300</v>
      </c>
      <c r="G24" s="1">
        <v>23</v>
      </c>
      <c r="H24" s="46" t="s">
        <v>66</v>
      </c>
      <c r="I24" s="1"/>
      <c r="J24" s="1"/>
    </row>
    <row r="25" spans="1:10" x14ac:dyDescent="0.35">
      <c r="A25" s="15">
        <v>80</v>
      </c>
      <c r="B25" s="1">
        <v>0</v>
      </c>
      <c r="C25" s="48">
        <v>1</v>
      </c>
      <c r="D25" s="45">
        <v>110900</v>
      </c>
      <c r="E25" s="45">
        <v>353000</v>
      </c>
      <c r="F25" s="14">
        <v>0</v>
      </c>
      <c r="G25" s="1">
        <v>24</v>
      </c>
      <c r="H25" s="46" t="s">
        <v>67</v>
      </c>
      <c r="I25" s="1"/>
      <c r="J25" s="1"/>
    </row>
    <row r="26" spans="1:10" x14ac:dyDescent="0.35">
      <c r="A26" s="15">
        <v>55</v>
      </c>
      <c r="B26" s="1">
        <v>0</v>
      </c>
      <c r="C26" s="48">
        <v>2</v>
      </c>
      <c r="D26" s="1">
        <v>0.1663</v>
      </c>
      <c r="E26" s="1">
        <v>21.18</v>
      </c>
      <c r="F26" s="41">
        <v>192300</v>
      </c>
      <c r="G26" s="1">
        <v>25</v>
      </c>
      <c r="H26" s="46" t="s">
        <v>68</v>
      </c>
      <c r="I26" s="1"/>
      <c r="J26" s="1"/>
    </row>
    <row r="27" spans="1:10" x14ac:dyDescent="0.35">
      <c r="A27" s="15">
        <v>45</v>
      </c>
      <c r="B27" s="1">
        <v>0</v>
      </c>
      <c r="C27" s="48">
        <v>2</v>
      </c>
      <c r="D27" s="1">
        <v>0.1663</v>
      </c>
      <c r="E27" s="1">
        <v>21.18</v>
      </c>
      <c r="F27" s="41">
        <v>192300</v>
      </c>
      <c r="G27" s="1">
        <v>26</v>
      </c>
      <c r="H27" s="46" t="s">
        <v>69</v>
      </c>
      <c r="I27" s="1"/>
      <c r="J27" s="1"/>
    </row>
    <row r="28" spans="1:10" x14ac:dyDescent="0.35">
      <c r="A28" s="15">
        <v>81</v>
      </c>
      <c r="B28" s="1">
        <v>0</v>
      </c>
      <c r="C28" s="48">
        <v>1</v>
      </c>
      <c r="D28" s="45">
        <v>110900</v>
      </c>
      <c r="E28" s="45">
        <v>353000</v>
      </c>
      <c r="F28" s="14">
        <v>0</v>
      </c>
      <c r="G28" s="1">
        <v>27</v>
      </c>
      <c r="H28" s="46" t="s">
        <v>70</v>
      </c>
      <c r="I28" s="1"/>
      <c r="J28" s="1"/>
    </row>
    <row r="29" spans="1:10" x14ac:dyDescent="0.35">
      <c r="A29" s="15"/>
      <c r="G29" s="14"/>
      <c r="I29" s="1"/>
      <c r="J29" s="1"/>
    </row>
    <row r="30" spans="1:10" x14ac:dyDescent="0.35">
      <c r="A30" s="12"/>
      <c r="B30" s="13"/>
      <c r="C30" s="13"/>
      <c r="D30" s="13"/>
      <c r="E30" s="13"/>
      <c r="F30" s="13"/>
      <c r="G30" s="19"/>
    </row>
    <row r="31" spans="1:10" x14ac:dyDescent="0.35">
      <c r="A31" s="15"/>
      <c r="G31" s="14"/>
    </row>
    <row r="32" spans="1:10" x14ac:dyDescent="0.35">
      <c r="A32" s="15"/>
      <c r="G32" s="14"/>
    </row>
    <row r="33" spans="1:7" x14ac:dyDescent="0.35">
      <c r="A33" s="15"/>
      <c r="G33" s="14"/>
    </row>
    <row r="34" spans="1:7" x14ac:dyDescent="0.35">
      <c r="A34" s="15"/>
      <c r="G34" s="14"/>
    </row>
    <row r="35" spans="1:7" x14ac:dyDescent="0.35">
      <c r="A35" s="15"/>
      <c r="G35" s="14"/>
    </row>
    <row r="36" spans="1:7" x14ac:dyDescent="0.35">
      <c r="A36" s="15"/>
      <c r="G36" s="14"/>
    </row>
    <row r="37" spans="1:7" x14ac:dyDescent="0.35">
      <c r="A37" s="15"/>
      <c r="G37" s="14"/>
    </row>
    <row r="38" spans="1:7" x14ac:dyDescent="0.35">
      <c r="A38" s="15"/>
      <c r="G38" s="14"/>
    </row>
    <row r="39" spans="1:7" x14ac:dyDescent="0.35">
      <c r="A39" s="15"/>
      <c r="G39" s="14"/>
    </row>
    <row r="40" spans="1:7" x14ac:dyDescent="0.35">
      <c r="A40" s="15"/>
      <c r="G40" s="14"/>
    </row>
    <row r="41" spans="1:7" x14ac:dyDescent="0.35">
      <c r="A41" s="15"/>
      <c r="G41" s="14"/>
    </row>
    <row r="42" spans="1:7" x14ac:dyDescent="0.35">
      <c r="A42" s="15"/>
      <c r="G42" s="14"/>
    </row>
    <row r="43" spans="1:7" x14ac:dyDescent="0.35">
      <c r="A43" s="15"/>
      <c r="G43" s="14"/>
    </row>
    <row r="44" spans="1:7" x14ac:dyDescent="0.35">
      <c r="A44" s="15"/>
      <c r="G44" s="14"/>
    </row>
    <row r="45" spans="1:7" x14ac:dyDescent="0.35">
      <c r="A45" s="15"/>
      <c r="G45" s="14"/>
    </row>
    <row r="46" spans="1:7" x14ac:dyDescent="0.35">
      <c r="A46" s="15"/>
      <c r="G46" s="14"/>
    </row>
    <row r="47" spans="1:7" x14ac:dyDescent="0.35">
      <c r="A47" s="15"/>
      <c r="G47" s="14"/>
    </row>
    <row r="48" spans="1:7" x14ac:dyDescent="0.35">
      <c r="A48" s="15"/>
      <c r="G48" s="14"/>
    </row>
    <row r="49" spans="1:7" x14ac:dyDescent="0.35">
      <c r="A49" s="15"/>
      <c r="G49" s="14"/>
    </row>
    <row r="50" spans="1:7" x14ac:dyDescent="0.35">
      <c r="A50" s="15"/>
      <c r="G50" s="14"/>
    </row>
    <row r="51" spans="1:7" x14ac:dyDescent="0.35">
      <c r="A51" s="15"/>
      <c r="G51" s="14"/>
    </row>
    <row r="52" spans="1:7" x14ac:dyDescent="0.35">
      <c r="A52" s="15"/>
      <c r="G52" s="14"/>
    </row>
    <row r="53" spans="1:7" x14ac:dyDescent="0.35">
      <c r="A53" s="15"/>
      <c r="G53" s="14"/>
    </row>
    <row r="54" spans="1:7" x14ac:dyDescent="0.35">
      <c r="A54" s="15"/>
      <c r="G54" s="14"/>
    </row>
    <row r="55" spans="1:7" x14ac:dyDescent="0.35">
      <c r="A55" s="15"/>
      <c r="G55" s="14"/>
    </row>
    <row r="56" spans="1:7" x14ac:dyDescent="0.35">
      <c r="A56" s="15"/>
      <c r="G56" s="14"/>
    </row>
    <row r="57" spans="1:7" x14ac:dyDescent="0.35">
      <c r="A57" s="15"/>
      <c r="G57" s="14"/>
    </row>
    <row r="58" spans="1:7" x14ac:dyDescent="0.35">
      <c r="A58" s="15"/>
      <c r="G58" s="14"/>
    </row>
    <row r="59" spans="1:7" x14ac:dyDescent="0.35">
      <c r="A59" s="15"/>
      <c r="G59" s="14"/>
    </row>
    <row r="60" spans="1:7" x14ac:dyDescent="0.35">
      <c r="A60" s="15"/>
      <c r="G60" s="14"/>
    </row>
    <row r="61" spans="1:7" x14ac:dyDescent="0.35">
      <c r="A61" s="15"/>
      <c r="G61" s="14"/>
    </row>
    <row r="62" spans="1:7" x14ac:dyDescent="0.35">
      <c r="A62" s="15"/>
      <c r="G62" s="14"/>
    </row>
    <row r="63" spans="1:7" x14ac:dyDescent="0.35">
      <c r="A63" s="15"/>
      <c r="G63" s="14"/>
    </row>
    <row r="64" spans="1:7" x14ac:dyDescent="0.35">
      <c r="A64" s="15"/>
      <c r="G64" s="14"/>
    </row>
    <row r="65" spans="1:7" x14ac:dyDescent="0.35">
      <c r="A65" s="15"/>
      <c r="G65" s="14"/>
    </row>
    <row r="66" spans="1:7" x14ac:dyDescent="0.35">
      <c r="A66" s="15"/>
      <c r="G66" s="14"/>
    </row>
    <row r="67" spans="1:7" x14ac:dyDescent="0.35">
      <c r="A67" s="15"/>
      <c r="G67" s="14"/>
    </row>
    <row r="68" spans="1:7" x14ac:dyDescent="0.35">
      <c r="A68" s="15"/>
      <c r="G68" s="14"/>
    </row>
    <row r="69" spans="1:7" x14ac:dyDescent="0.35">
      <c r="A69" s="15"/>
      <c r="G69" s="14"/>
    </row>
    <row r="70" spans="1:7" x14ac:dyDescent="0.35">
      <c r="A70" s="15"/>
      <c r="G70" s="14"/>
    </row>
    <row r="71" spans="1:7" x14ac:dyDescent="0.35">
      <c r="A71" s="15"/>
      <c r="G71" s="14"/>
    </row>
    <row r="72" spans="1:7" x14ac:dyDescent="0.35">
      <c r="A72" s="15"/>
      <c r="G72" s="14"/>
    </row>
    <row r="73" spans="1:7" x14ac:dyDescent="0.35">
      <c r="A73" s="15"/>
      <c r="G73" s="14"/>
    </row>
    <row r="74" spans="1:7" x14ac:dyDescent="0.35">
      <c r="A74" s="15"/>
      <c r="G74" s="14"/>
    </row>
    <row r="75" spans="1:7" x14ac:dyDescent="0.35">
      <c r="A75" s="15"/>
      <c r="G75" s="14"/>
    </row>
    <row r="76" spans="1:7" x14ac:dyDescent="0.35">
      <c r="A76" s="15"/>
      <c r="G76" s="14"/>
    </row>
    <row r="77" spans="1:7" x14ac:dyDescent="0.35">
      <c r="A77" s="15"/>
      <c r="G77" s="14"/>
    </row>
    <row r="78" spans="1:7" x14ac:dyDescent="0.35">
      <c r="A78" s="15"/>
      <c r="G78" s="14"/>
    </row>
    <row r="79" spans="1:7" x14ac:dyDescent="0.35">
      <c r="A79" s="15"/>
      <c r="G79" s="14"/>
    </row>
    <row r="80" spans="1:7" x14ac:dyDescent="0.35">
      <c r="A80" s="15"/>
      <c r="G80" s="14"/>
    </row>
    <row r="81" spans="1:7" x14ac:dyDescent="0.35">
      <c r="A81" s="15"/>
      <c r="G81" s="14"/>
    </row>
    <row r="82" spans="1:7" x14ac:dyDescent="0.35">
      <c r="A82" s="15"/>
      <c r="G82" s="14"/>
    </row>
    <row r="83" spans="1:7" x14ac:dyDescent="0.35">
      <c r="A83" s="15"/>
      <c r="G83" s="14"/>
    </row>
    <row r="84" spans="1:7" x14ac:dyDescent="0.35">
      <c r="A84" s="15"/>
      <c r="G84" s="14"/>
    </row>
    <row r="85" spans="1:7" x14ac:dyDescent="0.35">
      <c r="A85" s="16"/>
      <c r="B85" s="17"/>
      <c r="C85" s="17"/>
      <c r="D85" s="17"/>
      <c r="E85" s="17"/>
      <c r="F85" s="17"/>
      <c r="G85" s="18"/>
    </row>
  </sheetData>
  <autoFilter ref="A1:H1" xr:uid="{771BC108-7087-49D1-BC33-943B282609DD}">
    <sortState xmlns:xlrd2="http://schemas.microsoft.com/office/spreadsheetml/2017/richdata2" ref="A2:H26">
      <sortCondition ref="A1"/>
    </sortState>
  </autoFilter>
  <phoneticPr fontId="4" type="noConversion"/>
  <conditionalFormatting sqref="B2:B20">
    <cfRule type="colorScale" priority="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D22C-57F0-47DF-AB9D-C602EEAB1B95}">
  <dimension ref="A1:L100"/>
  <sheetViews>
    <sheetView workbookViewId="0">
      <selection activeCell="H5" sqref="G2:H5"/>
    </sheetView>
  </sheetViews>
  <sheetFormatPr defaultRowHeight="14.5" x14ac:dyDescent="0.35"/>
  <sheetData>
    <row r="1" spans="1:12" x14ac:dyDescent="0.35">
      <c r="A1" s="9" t="s">
        <v>6</v>
      </c>
      <c r="B1" s="10" t="s">
        <v>7</v>
      </c>
      <c r="C1" s="10" t="s">
        <v>0</v>
      </c>
      <c r="D1" s="10" t="s">
        <v>8</v>
      </c>
      <c r="E1" s="10" t="s">
        <v>9</v>
      </c>
      <c r="F1" s="11" t="s">
        <v>10</v>
      </c>
    </row>
    <row r="2" spans="1:12" x14ac:dyDescent="0.35">
      <c r="A2" s="1">
        <v>4</v>
      </c>
      <c r="B2" s="1">
        <v>2</v>
      </c>
      <c r="C2" s="1">
        <v>1</v>
      </c>
      <c r="D2" s="1">
        <v>0</v>
      </c>
      <c r="E2" s="1">
        <v>0</v>
      </c>
      <c r="F2" s="1">
        <v>0</v>
      </c>
    </row>
    <row r="3" spans="1:12" x14ac:dyDescent="0.35">
      <c r="A3" s="1">
        <v>5</v>
      </c>
      <c r="B3" s="1">
        <v>3</v>
      </c>
      <c r="C3" s="1">
        <v>1</v>
      </c>
      <c r="D3" s="1">
        <v>0</v>
      </c>
      <c r="E3" s="1">
        <v>0</v>
      </c>
      <c r="F3" s="1">
        <v>0</v>
      </c>
    </row>
    <row r="4" spans="1:12" x14ac:dyDescent="0.35">
      <c r="A4" s="1"/>
      <c r="B4" s="1"/>
      <c r="C4" s="1"/>
      <c r="D4" s="1"/>
      <c r="E4" s="1"/>
      <c r="F4" s="1"/>
      <c r="L4" t="s">
        <v>43</v>
      </c>
    </row>
    <row r="5" spans="1:12" x14ac:dyDescent="0.35">
      <c r="A5" s="35"/>
      <c r="B5" s="35"/>
      <c r="C5" s="35"/>
      <c r="D5" s="35"/>
      <c r="E5" s="35"/>
      <c r="F5" s="35"/>
      <c r="L5" t="s">
        <v>43</v>
      </c>
    </row>
    <row r="6" spans="1:12" x14ac:dyDescent="0.35">
      <c r="A6" s="35"/>
      <c r="B6" s="35"/>
      <c r="C6" s="35"/>
      <c r="D6" s="35"/>
      <c r="E6" s="35"/>
      <c r="F6" s="35"/>
      <c r="L6" t="s">
        <v>43</v>
      </c>
    </row>
    <row r="7" spans="1:12" x14ac:dyDescent="0.35">
      <c r="A7" s="1"/>
      <c r="B7" s="1"/>
      <c r="C7" s="1"/>
      <c r="D7" s="1"/>
      <c r="E7" s="1"/>
      <c r="F7" s="1"/>
    </row>
    <row r="8" spans="1:12" x14ac:dyDescent="0.35">
      <c r="A8" s="34"/>
      <c r="B8" s="35"/>
      <c r="C8" s="35"/>
      <c r="D8" s="35"/>
      <c r="E8" s="35"/>
      <c r="F8" s="36"/>
    </row>
    <row r="9" spans="1:12" x14ac:dyDescent="0.35">
      <c r="A9" s="34"/>
      <c r="B9" s="35"/>
      <c r="C9" s="35"/>
      <c r="D9" s="35"/>
      <c r="E9" s="35"/>
      <c r="F9" s="36"/>
    </row>
    <row r="10" spans="1:12" x14ac:dyDescent="0.35">
      <c r="A10" s="34"/>
      <c r="B10" s="35"/>
      <c r="C10" s="35"/>
      <c r="D10" s="35"/>
      <c r="E10" s="35"/>
      <c r="F10" s="36"/>
    </row>
    <row r="11" spans="1:12" x14ac:dyDescent="0.35">
      <c r="A11" s="4"/>
      <c r="F11" s="5"/>
    </row>
    <row r="12" spans="1:12" x14ac:dyDescent="0.35">
      <c r="A12" s="4"/>
      <c r="F12" s="5"/>
    </row>
    <row r="13" spans="1:12" x14ac:dyDescent="0.35">
      <c r="A13" s="4"/>
      <c r="F13" s="5"/>
    </row>
    <row r="14" spans="1:12" x14ac:dyDescent="0.35">
      <c r="A14" s="4"/>
      <c r="F14" s="5"/>
    </row>
    <row r="15" spans="1:12" x14ac:dyDescent="0.35">
      <c r="A15" s="4"/>
      <c r="F15" s="5"/>
    </row>
    <row r="16" spans="1:12" x14ac:dyDescent="0.35">
      <c r="A16" s="4"/>
      <c r="F16" s="5"/>
    </row>
    <row r="17" spans="1:6" x14ac:dyDescent="0.35">
      <c r="A17" s="4"/>
      <c r="F17" s="5"/>
    </row>
    <row r="18" spans="1:6" x14ac:dyDescent="0.35">
      <c r="A18" s="4"/>
      <c r="F18" s="5"/>
    </row>
    <row r="19" spans="1:6" x14ac:dyDescent="0.35">
      <c r="A19" s="4"/>
      <c r="F19" s="5"/>
    </row>
    <row r="20" spans="1:6" x14ac:dyDescent="0.35">
      <c r="A20" s="4"/>
      <c r="F20" s="5"/>
    </row>
    <row r="21" spans="1:6" x14ac:dyDescent="0.35">
      <c r="A21" s="4"/>
      <c r="F21" s="5"/>
    </row>
    <row r="22" spans="1:6" x14ac:dyDescent="0.35">
      <c r="A22" s="4"/>
      <c r="F22" s="5"/>
    </row>
    <row r="23" spans="1:6" x14ac:dyDescent="0.35">
      <c r="A23" s="4"/>
      <c r="F23" s="5"/>
    </row>
    <row r="24" spans="1:6" x14ac:dyDescent="0.35">
      <c r="A24" s="4"/>
      <c r="F24" s="5"/>
    </row>
    <row r="25" spans="1:6" x14ac:dyDescent="0.35">
      <c r="A25" s="4"/>
      <c r="F25" s="5"/>
    </row>
    <row r="26" spans="1:6" x14ac:dyDescent="0.35">
      <c r="A26" s="4"/>
      <c r="F26" s="5"/>
    </row>
    <row r="27" spans="1:6" x14ac:dyDescent="0.35">
      <c r="A27" s="4"/>
      <c r="F27" s="5"/>
    </row>
    <row r="28" spans="1:6" x14ac:dyDescent="0.35">
      <c r="A28" s="4"/>
      <c r="F28" s="5"/>
    </row>
    <row r="29" spans="1:6" x14ac:dyDescent="0.35">
      <c r="A29" s="4"/>
      <c r="F29" s="5"/>
    </row>
    <row r="30" spans="1:6" x14ac:dyDescent="0.35">
      <c r="A30" s="4"/>
      <c r="F30" s="5"/>
    </row>
    <row r="31" spans="1:6" x14ac:dyDescent="0.35">
      <c r="A31" s="4"/>
      <c r="F31" s="5"/>
    </row>
    <row r="32" spans="1:6" x14ac:dyDescent="0.35">
      <c r="A32" s="4"/>
      <c r="F32" s="5"/>
    </row>
    <row r="33" spans="1:6" x14ac:dyDescent="0.35">
      <c r="A33" s="4"/>
      <c r="F33" s="5"/>
    </row>
    <row r="34" spans="1:6" x14ac:dyDescent="0.35">
      <c r="A34" s="4"/>
      <c r="F34" s="5"/>
    </row>
    <row r="35" spans="1:6" x14ac:dyDescent="0.35">
      <c r="A35" s="4"/>
      <c r="F35" s="5"/>
    </row>
    <row r="36" spans="1:6" x14ac:dyDescent="0.35">
      <c r="A36" s="4"/>
      <c r="F36" s="5"/>
    </row>
    <row r="37" spans="1:6" x14ac:dyDescent="0.35">
      <c r="A37" s="4"/>
      <c r="F37" s="5"/>
    </row>
    <row r="38" spans="1:6" x14ac:dyDescent="0.35">
      <c r="A38" s="4"/>
      <c r="F38" s="5"/>
    </row>
    <row r="39" spans="1:6" x14ac:dyDescent="0.35">
      <c r="A39" s="4"/>
      <c r="F39" s="5"/>
    </row>
    <row r="40" spans="1:6" x14ac:dyDescent="0.35">
      <c r="A40" s="4"/>
      <c r="F40" s="5"/>
    </row>
    <row r="41" spans="1:6" x14ac:dyDescent="0.35">
      <c r="A41" s="4"/>
      <c r="F41" s="5"/>
    </row>
    <row r="42" spans="1:6" x14ac:dyDescent="0.35">
      <c r="A42" s="4"/>
      <c r="F42" s="5"/>
    </row>
    <row r="43" spans="1:6" x14ac:dyDescent="0.35">
      <c r="A43" s="4"/>
      <c r="F43" s="5"/>
    </row>
    <row r="44" spans="1:6" x14ac:dyDescent="0.35">
      <c r="A44" s="4"/>
      <c r="F44" s="5"/>
    </row>
    <row r="45" spans="1:6" x14ac:dyDescent="0.35">
      <c r="A45" s="4"/>
      <c r="F45" s="5"/>
    </row>
    <row r="46" spans="1:6" x14ac:dyDescent="0.35">
      <c r="A46" s="4"/>
      <c r="F46" s="5"/>
    </row>
    <row r="47" spans="1:6" x14ac:dyDescent="0.35">
      <c r="A47" s="4"/>
      <c r="F47" s="5"/>
    </row>
    <row r="48" spans="1:6" x14ac:dyDescent="0.35">
      <c r="A48" s="4"/>
      <c r="F48" s="5"/>
    </row>
    <row r="49" spans="1:6" x14ac:dyDescent="0.35">
      <c r="A49" s="4"/>
      <c r="F49" s="5"/>
    </row>
    <row r="50" spans="1:6" x14ac:dyDescent="0.35">
      <c r="A50" s="4"/>
      <c r="F50" s="5"/>
    </row>
    <row r="51" spans="1:6" x14ac:dyDescent="0.35">
      <c r="A51" s="4"/>
      <c r="F51" s="5"/>
    </row>
    <row r="52" spans="1:6" x14ac:dyDescent="0.35">
      <c r="A52" s="4"/>
      <c r="F52" s="5"/>
    </row>
    <row r="53" spans="1:6" x14ac:dyDescent="0.35">
      <c r="A53" s="4"/>
      <c r="F53" s="5"/>
    </row>
    <row r="54" spans="1:6" x14ac:dyDescent="0.35">
      <c r="A54" s="4"/>
      <c r="F54" s="5"/>
    </row>
    <row r="55" spans="1:6" x14ac:dyDescent="0.35">
      <c r="A55" s="4"/>
      <c r="F55" s="5"/>
    </row>
    <row r="56" spans="1:6" x14ac:dyDescent="0.35">
      <c r="A56" s="4"/>
      <c r="F56" s="5"/>
    </row>
    <row r="57" spans="1:6" x14ac:dyDescent="0.35">
      <c r="A57" s="4"/>
      <c r="F57" s="5"/>
    </row>
    <row r="58" spans="1:6" x14ac:dyDescent="0.35">
      <c r="A58" s="4"/>
      <c r="F58" s="5"/>
    </row>
    <row r="59" spans="1:6" x14ac:dyDescent="0.35">
      <c r="A59" s="4"/>
      <c r="F59" s="5"/>
    </row>
    <row r="60" spans="1:6" x14ac:dyDescent="0.35">
      <c r="A60" s="4"/>
      <c r="F60" s="5"/>
    </row>
    <row r="61" spans="1:6" x14ac:dyDescent="0.35">
      <c r="A61" s="4"/>
      <c r="F61" s="5"/>
    </row>
    <row r="62" spans="1:6" x14ac:dyDescent="0.35">
      <c r="A62" s="4"/>
      <c r="F62" s="5"/>
    </row>
    <row r="63" spans="1:6" x14ac:dyDescent="0.35">
      <c r="A63" s="4"/>
      <c r="F63" s="5"/>
    </row>
    <row r="64" spans="1:6" x14ac:dyDescent="0.35">
      <c r="A64" s="4"/>
      <c r="F64" s="5"/>
    </row>
    <row r="65" spans="1:6" x14ac:dyDescent="0.35">
      <c r="A65" s="4"/>
      <c r="F65" s="5"/>
    </row>
    <row r="66" spans="1:6" x14ac:dyDescent="0.35">
      <c r="A66" s="4"/>
      <c r="F66" s="5"/>
    </row>
    <row r="67" spans="1:6" x14ac:dyDescent="0.35">
      <c r="A67" s="4"/>
      <c r="F67" s="5"/>
    </row>
    <row r="68" spans="1:6" x14ac:dyDescent="0.35">
      <c r="A68" s="4"/>
      <c r="F68" s="5"/>
    </row>
    <row r="69" spans="1:6" x14ac:dyDescent="0.35">
      <c r="A69" s="4"/>
      <c r="F69" s="5"/>
    </row>
    <row r="70" spans="1:6" x14ac:dyDescent="0.35">
      <c r="A70" s="4"/>
      <c r="F70" s="5"/>
    </row>
    <row r="71" spans="1:6" x14ac:dyDescent="0.35">
      <c r="A71" s="4"/>
      <c r="F71" s="5"/>
    </row>
    <row r="72" spans="1:6" x14ac:dyDescent="0.35">
      <c r="A72" s="4"/>
      <c r="F72" s="5"/>
    </row>
    <row r="73" spans="1:6" x14ac:dyDescent="0.35">
      <c r="A73" s="4"/>
      <c r="F73" s="5"/>
    </row>
    <row r="74" spans="1:6" x14ac:dyDescent="0.35">
      <c r="A74" s="4"/>
      <c r="F74" s="5"/>
    </row>
    <row r="75" spans="1:6" x14ac:dyDescent="0.35">
      <c r="A75" s="4"/>
      <c r="F75" s="5"/>
    </row>
    <row r="76" spans="1:6" x14ac:dyDescent="0.35">
      <c r="A76" s="4"/>
      <c r="F76" s="5"/>
    </row>
    <row r="77" spans="1:6" x14ac:dyDescent="0.35">
      <c r="A77" s="4"/>
      <c r="F77" s="5"/>
    </row>
    <row r="78" spans="1:6" x14ac:dyDescent="0.35">
      <c r="A78" s="4"/>
      <c r="F78" s="5"/>
    </row>
    <row r="79" spans="1:6" x14ac:dyDescent="0.35">
      <c r="A79" s="4"/>
      <c r="F79" s="5"/>
    </row>
    <row r="80" spans="1:6" x14ac:dyDescent="0.35">
      <c r="A80" s="4"/>
      <c r="F80" s="5"/>
    </row>
    <row r="81" spans="1:6" x14ac:dyDescent="0.35">
      <c r="A81" s="4"/>
      <c r="F81" s="5"/>
    </row>
    <row r="82" spans="1:6" x14ac:dyDescent="0.35">
      <c r="A82" s="4"/>
      <c r="F82" s="5"/>
    </row>
    <row r="83" spans="1:6" x14ac:dyDescent="0.35">
      <c r="A83" s="4"/>
      <c r="F83" s="5"/>
    </row>
    <row r="84" spans="1:6" x14ac:dyDescent="0.35">
      <c r="A84" s="4"/>
      <c r="F84" s="5"/>
    </row>
    <row r="85" spans="1:6" x14ac:dyDescent="0.35">
      <c r="A85" s="4"/>
      <c r="F85" s="5"/>
    </row>
    <row r="86" spans="1:6" x14ac:dyDescent="0.35">
      <c r="A86" s="4"/>
      <c r="F86" s="5"/>
    </row>
    <row r="87" spans="1:6" x14ac:dyDescent="0.35">
      <c r="A87" s="4"/>
      <c r="F87" s="5"/>
    </row>
    <row r="88" spans="1:6" x14ac:dyDescent="0.35">
      <c r="A88" s="4"/>
      <c r="F88" s="5"/>
    </row>
    <row r="89" spans="1:6" x14ac:dyDescent="0.35">
      <c r="A89" s="4"/>
      <c r="F89" s="5"/>
    </row>
    <row r="90" spans="1:6" x14ac:dyDescent="0.35">
      <c r="A90" s="4"/>
      <c r="F90" s="5"/>
    </row>
    <row r="91" spans="1:6" x14ac:dyDescent="0.35">
      <c r="A91" s="4"/>
      <c r="F91" s="5"/>
    </row>
    <row r="92" spans="1:6" x14ac:dyDescent="0.35">
      <c r="A92" s="4"/>
      <c r="F92" s="5"/>
    </row>
    <row r="93" spans="1:6" x14ac:dyDescent="0.35">
      <c r="A93" s="4"/>
      <c r="F93" s="5"/>
    </row>
    <row r="94" spans="1:6" x14ac:dyDescent="0.35">
      <c r="A94" s="4"/>
      <c r="F94" s="5"/>
    </row>
    <row r="95" spans="1:6" x14ac:dyDescent="0.35">
      <c r="A95" s="4"/>
      <c r="F95" s="5"/>
    </row>
    <row r="96" spans="1:6" x14ac:dyDescent="0.35">
      <c r="A96" s="4"/>
      <c r="F96" s="5"/>
    </row>
    <row r="97" spans="1:6" x14ac:dyDescent="0.35">
      <c r="A97" s="4"/>
      <c r="F97" s="5"/>
    </row>
    <row r="98" spans="1:6" x14ac:dyDescent="0.35">
      <c r="A98" s="4"/>
      <c r="F98" s="5"/>
    </row>
    <row r="99" spans="1:6" x14ac:dyDescent="0.35">
      <c r="A99" s="4"/>
      <c r="F99" s="5"/>
    </row>
    <row r="100" spans="1:6" x14ac:dyDescent="0.35">
      <c r="A100" s="6"/>
      <c r="B100" s="7"/>
      <c r="C100" s="7"/>
      <c r="D100" s="7"/>
      <c r="E100" s="7"/>
      <c r="F100" s="8"/>
    </row>
  </sheetData>
  <dataValidations count="1">
    <dataValidation type="list" allowBlank="1" showInputMessage="1" showErrorMessage="1" sqref="A8:B100" xr:uid="{D1B454D3-4440-4305-AC94-CE68164DE4EE}">
      <formula1>NODES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19F8-1F4B-48CA-914F-BE48E99763D4}">
  <dimension ref="A1:G32"/>
  <sheetViews>
    <sheetView workbookViewId="0">
      <selection activeCell="E2" sqref="E2:G3"/>
    </sheetView>
  </sheetViews>
  <sheetFormatPr defaultRowHeight="14.5" x14ac:dyDescent="0.35"/>
  <cols>
    <col min="5" max="5" width="9.1796875" customWidth="1"/>
  </cols>
  <sheetData>
    <row r="1" spans="1:7" x14ac:dyDescent="0.35">
      <c r="A1" s="31" t="s">
        <v>15</v>
      </c>
      <c r="B1" s="32" t="s">
        <v>6</v>
      </c>
      <c r="C1" s="32" t="s">
        <v>7</v>
      </c>
      <c r="D1" s="33" t="s">
        <v>18</v>
      </c>
      <c r="E1" s="28" t="s">
        <v>15</v>
      </c>
      <c r="F1" s="29" t="s">
        <v>17</v>
      </c>
      <c r="G1" s="30" t="s">
        <v>18</v>
      </c>
    </row>
    <row r="2" spans="1:7" x14ac:dyDescent="0.35">
      <c r="A2" s="22" t="s">
        <v>16</v>
      </c>
      <c r="B2" s="1">
        <v>4</v>
      </c>
      <c r="C2" s="1">
        <v>2</v>
      </c>
      <c r="D2" s="24" t="str">
        <f t="shared" ref="D2:D24" si="0">IF(A2="U",_xlfn.CONCAT("U_n"&amp;B2&amp;"_"&amp;C2),"")</f>
        <v>U_n4_2</v>
      </c>
      <c r="E2" s="22"/>
      <c r="F2" s="21"/>
      <c r="G2" s="24"/>
    </row>
    <row r="3" spans="1:7" x14ac:dyDescent="0.35">
      <c r="A3" s="23" t="s">
        <v>16</v>
      </c>
      <c r="B3" s="1">
        <v>5</v>
      </c>
      <c r="C3" s="1">
        <v>3</v>
      </c>
      <c r="D3" s="24" t="str">
        <f t="shared" si="0"/>
        <v>U_n5_3</v>
      </c>
      <c r="E3" s="23"/>
      <c r="F3" s="1"/>
      <c r="G3" s="24"/>
    </row>
    <row r="4" spans="1:7" x14ac:dyDescent="0.35">
      <c r="A4" s="23"/>
      <c r="B4" s="1"/>
      <c r="C4" s="1"/>
      <c r="D4" s="24"/>
      <c r="E4" s="23"/>
      <c r="F4" s="1"/>
      <c r="G4" s="24"/>
    </row>
    <row r="5" spans="1:7" x14ac:dyDescent="0.35">
      <c r="A5" s="23"/>
      <c r="B5" s="1"/>
      <c r="C5" s="1"/>
      <c r="D5" s="24" t="str">
        <f t="shared" si="0"/>
        <v/>
      </c>
      <c r="E5" s="23"/>
      <c r="F5" s="1"/>
      <c r="G5" s="24" t="str">
        <f t="shared" ref="G5:G31" si="1">IF(E5="I",_xlfn.CONCAT("I_b"&amp;F5),"")</f>
        <v/>
      </c>
    </row>
    <row r="6" spans="1:7" x14ac:dyDescent="0.35">
      <c r="A6" s="23"/>
      <c r="B6" s="1"/>
      <c r="C6" s="1"/>
      <c r="D6" s="24" t="str">
        <f t="shared" si="0"/>
        <v/>
      </c>
      <c r="E6" s="23"/>
      <c r="F6" s="1"/>
      <c r="G6" s="24" t="str">
        <f t="shared" si="1"/>
        <v/>
      </c>
    </row>
    <row r="7" spans="1:7" x14ac:dyDescent="0.35">
      <c r="A7" s="23"/>
      <c r="B7" s="1"/>
      <c r="C7" s="1"/>
      <c r="D7" s="24" t="str">
        <f t="shared" si="0"/>
        <v/>
      </c>
      <c r="E7" s="23"/>
      <c r="F7" s="1"/>
      <c r="G7" s="24" t="str">
        <f t="shared" si="1"/>
        <v/>
      </c>
    </row>
    <row r="8" spans="1:7" x14ac:dyDescent="0.35">
      <c r="A8" s="23"/>
      <c r="B8" s="1"/>
      <c r="C8" s="1"/>
      <c r="D8" s="24" t="str">
        <f t="shared" si="0"/>
        <v/>
      </c>
      <c r="E8" s="23"/>
      <c r="F8" s="1"/>
      <c r="G8" s="24" t="str">
        <f t="shared" si="1"/>
        <v/>
      </c>
    </row>
    <row r="9" spans="1:7" x14ac:dyDescent="0.35">
      <c r="A9" s="23"/>
      <c r="B9" s="1"/>
      <c r="C9" s="1"/>
      <c r="D9" s="24" t="str">
        <f t="shared" si="0"/>
        <v/>
      </c>
      <c r="E9" s="23"/>
      <c r="F9" s="1"/>
      <c r="G9" s="24" t="str">
        <f t="shared" si="1"/>
        <v/>
      </c>
    </row>
    <row r="10" spans="1:7" x14ac:dyDescent="0.35">
      <c r="A10" s="23"/>
      <c r="B10" s="1"/>
      <c r="C10" s="1"/>
      <c r="D10" s="24" t="str">
        <f t="shared" si="0"/>
        <v/>
      </c>
      <c r="E10" s="23"/>
      <c r="F10" s="1"/>
      <c r="G10" s="24" t="str">
        <f t="shared" si="1"/>
        <v/>
      </c>
    </row>
    <row r="11" spans="1:7" x14ac:dyDescent="0.35">
      <c r="A11" s="23"/>
      <c r="B11" s="1"/>
      <c r="C11" s="1"/>
      <c r="D11" s="24" t="str">
        <f t="shared" si="0"/>
        <v/>
      </c>
      <c r="E11" s="23"/>
      <c r="F11" s="1"/>
      <c r="G11" s="24" t="str">
        <f t="shared" si="1"/>
        <v/>
      </c>
    </row>
    <row r="12" spans="1:7" x14ac:dyDescent="0.35">
      <c r="A12" s="23"/>
      <c r="B12" s="1"/>
      <c r="C12" s="1"/>
      <c r="D12" s="24" t="str">
        <f t="shared" si="0"/>
        <v/>
      </c>
      <c r="E12" s="23"/>
      <c r="F12" s="1"/>
      <c r="G12" s="24" t="str">
        <f t="shared" si="1"/>
        <v/>
      </c>
    </row>
    <row r="13" spans="1:7" x14ac:dyDescent="0.35">
      <c r="A13" s="23"/>
      <c r="B13" s="1"/>
      <c r="C13" s="1"/>
      <c r="D13" s="24" t="str">
        <f t="shared" si="0"/>
        <v/>
      </c>
      <c r="E13" s="23"/>
      <c r="F13" s="1"/>
      <c r="G13" s="24" t="str">
        <f t="shared" si="1"/>
        <v/>
      </c>
    </row>
    <row r="14" spans="1:7" x14ac:dyDescent="0.35">
      <c r="A14" s="23"/>
      <c r="B14" s="1"/>
      <c r="C14" s="1"/>
      <c r="D14" s="24" t="str">
        <f t="shared" si="0"/>
        <v/>
      </c>
      <c r="E14" s="23"/>
      <c r="F14" s="1"/>
      <c r="G14" s="24" t="str">
        <f t="shared" si="1"/>
        <v/>
      </c>
    </row>
    <row r="15" spans="1:7" x14ac:dyDescent="0.35">
      <c r="A15" s="23"/>
      <c r="B15" s="1"/>
      <c r="C15" s="1"/>
      <c r="D15" s="24" t="str">
        <f t="shared" si="0"/>
        <v/>
      </c>
      <c r="E15" s="23"/>
      <c r="F15" s="1"/>
      <c r="G15" s="24" t="str">
        <f t="shared" si="1"/>
        <v/>
      </c>
    </row>
    <row r="16" spans="1:7" x14ac:dyDescent="0.35">
      <c r="A16" s="23"/>
      <c r="B16" s="1"/>
      <c r="C16" s="1"/>
      <c r="D16" s="24" t="str">
        <f t="shared" si="0"/>
        <v/>
      </c>
      <c r="E16" s="23"/>
      <c r="F16" s="1"/>
      <c r="G16" s="24" t="str">
        <f t="shared" si="1"/>
        <v/>
      </c>
    </row>
    <row r="17" spans="1:7" x14ac:dyDescent="0.35">
      <c r="A17" s="23"/>
      <c r="B17" s="1"/>
      <c r="C17" s="1"/>
      <c r="D17" s="24" t="str">
        <f t="shared" si="0"/>
        <v/>
      </c>
      <c r="E17" s="23"/>
      <c r="F17" s="1"/>
      <c r="G17" s="24" t="str">
        <f t="shared" si="1"/>
        <v/>
      </c>
    </row>
    <row r="18" spans="1:7" x14ac:dyDescent="0.35">
      <c r="A18" s="23"/>
      <c r="B18" s="1"/>
      <c r="C18" s="1"/>
      <c r="D18" s="24" t="str">
        <f t="shared" si="0"/>
        <v/>
      </c>
      <c r="E18" s="23"/>
      <c r="F18" s="1"/>
      <c r="G18" s="24" t="str">
        <f t="shared" si="1"/>
        <v/>
      </c>
    </row>
    <row r="19" spans="1:7" x14ac:dyDescent="0.35">
      <c r="A19" s="23"/>
      <c r="B19" s="1"/>
      <c r="C19" s="1"/>
      <c r="D19" s="24" t="str">
        <f t="shared" si="0"/>
        <v/>
      </c>
      <c r="E19" s="23"/>
      <c r="F19" s="1"/>
      <c r="G19" s="24" t="str">
        <f t="shared" si="1"/>
        <v/>
      </c>
    </row>
    <row r="20" spans="1:7" x14ac:dyDescent="0.35">
      <c r="A20" s="23"/>
      <c r="B20" s="1"/>
      <c r="C20" s="1"/>
      <c r="D20" s="24" t="str">
        <f t="shared" si="0"/>
        <v/>
      </c>
      <c r="E20" s="23"/>
      <c r="F20" s="1"/>
      <c r="G20" s="24" t="str">
        <f t="shared" si="1"/>
        <v/>
      </c>
    </row>
    <row r="21" spans="1:7" x14ac:dyDescent="0.35">
      <c r="A21" s="23"/>
      <c r="B21" s="1"/>
      <c r="C21" s="1"/>
      <c r="D21" s="24" t="str">
        <f t="shared" si="0"/>
        <v/>
      </c>
      <c r="E21" s="23"/>
      <c r="F21" s="1"/>
      <c r="G21" s="24" t="str">
        <f t="shared" si="1"/>
        <v/>
      </c>
    </row>
    <row r="22" spans="1:7" x14ac:dyDescent="0.35">
      <c r="A22" s="23"/>
      <c r="B22" s="1"/>
      <c r="C22" s="1"/>
      <c r="D22" s="24" t="str">
        <f t="shared" si="0"/>
        <v/>
      </c>
      <c r="E22" s="23"/>
      <c r="F22" s="1"/>
      <c r="G22" s="24" t="str">
        <f t="shared" si="1"/>
        <v/>
      </c>
    </row>
    <row r="23" spans="1:7" x14ac:dyDescent="0.35">
      <c r="A23" s="23"/>
      <c r="B23" s="1"/>
      <c r="C23" s="1"/>
      <c r="D23" s="24" t="str">
        <f t="shared" si="0"/>
        <v/>
      </c>
      <c r="E23" s="23"/>
      <c r="F23" s="1"/>
      <c r="G23" s="24" t="str">
        <f t="shared" si="1"/>
        <v/>
      </c>
    </row>
    <row r="24" spans="1:7" x14ac:dyDescent="0.35">
      <c r="A24" s="23"/>
      <c r="B24" s="1"/>
      <c r="C24" s="1"/>
      <c r="D24" s="24" t="str">
        <f t="shared" si="0"/>
        <v/>
      </c>
      <c r="E24" s="23"/>
      <c r="F24" s="1"/>
      <c r="G24" s="24" t="str">
        <f t="shared" si="1"/>
        <v/>
      </c>
    </row>
    <row r="25" spans="1:7" x14ac:dyDescent="0.35">
      <c r="A25" s="23"/>
      <c r="B25" s="1"/>
      <c r="C25" s="1"/>
      <c r="D25" s="24" t="str">
        <f t="shared" ref="D25:D26" si="2">IF(A25="U",_xlfn.CONCAT("U_n"&amp;B25&amp;"_"&amp;C25),"")</f>
        <v/>
      </c>
      <c r="E25" s="23"/>
      <c r="F25" s="1"/>
      <c r="G25" s="24" t="str">
        <f t="shared" si="1"/>
        <v/>
      </c>
    </row>
    <row r="26" spans="1:7" x14ac:dyDescent="0.35">
      <c r="A26" s="23"/>
      <c r="B26" s="1"/>
      <c r="C26" s="1"/>
      <c r="D26" s="24" t="str">
        <f t="shared" si="2"/>
        <v/>
      </c>
      <c r="E26" s="23"/>
      <c r="F26" s="1"/>
      <c r="G26" s="24" t="str">
        <f t="shared" si="1"/>
        <v/>
      </c>
    </row>
    <row r="27" spans="1:7" x14ac:dyDescent="0.35">
      <c r="A27" s="23"/>
      <c r="B27" s="1"/>
      <c r="C27" s="1"/>
      <c r="D27" s="24"/>
      <c r="E27" s="23"/>
      <c r="F27" s="1"/>
      <c r="G27" s="24" t="str">
        <f t="shared" si="1"/>
        <v/>
      </c>
    </row>
    <row r="28" spans="1:7" x14ac:dyDescent="0.35">
      <c r="A28" s="23"/>
      <c r="B28" s="1"/>
      <c r="C28" s="1"/>
      <c r="D28" s="24"/>
      <c r="E28" s="23"/>
      <c r="F28" s="1"/>
      <c r="G28" s="24" t="str">
        <f t="shared" si="1"/>
        <v/>
      </c>
    </row>
    <row r="29" spans="1:7" x14ac:dyDescent="0.35">
      <c r="A29" s="23"/>
      <c r="B29" s="1"/>
      <c r="C29" s="1"/>
      <c r="D29" s="24"/>
      <c r="E29" s="23"/>
      <c r="F29" s="1"/>
      <c r="G29" s="24" t="str">
        <f t="shared" si="1"/>
        <v/>
      </c>
    </row>
    <row r="30" spans="1:7" x14ac:dyDescent="0.35">
      <c r="A30" s="23"/>
      <c r="B30" s="1"/>
      <c r="C30" s="1"/>
      <c r="D30" s="24"/>
      <c r="E30" s="23"/>
      <c r="F30" s="1"/>
      <c r="G30" s="24" t="str">
        <f t="shared" si="1"/>
        <v/>
      </c>
    </row>
    <row r="31" spans="1:7" x14ac:dyDescent="0.35">
      <c r="A31" s="23"/>
      <c r="B31" s="1"/>
      <c r="C31" s="1"/>
      <c r="D31" s="24"/>
      <c r="E31" s="23"/>
      <c r="F31" s="1"/>
      <c r="G31" s="24" t="str">
        <f t="shared" si="1"/>
        <v/>
      </c>
    </row>
    <row r="32" spans="1:7" ht="15" thickBot="1" x14ac:dyDescent="0.4">
      <c r="A32" s="25"/>
      <c r="B32" s="26"/>
      <c r="C32" s="26"/>
      <c r="D32" s="27"/>
      <c r="E32" s="25"/>
      <c r="F32" s="26"/>
      <c r="G32" s="27" t="str">
        <f>IF(E32="I",_xlfn.CONCAT("I_b"&amp;F32),"")</f>
        <v/>
      </c>
    </row>
  </sheetData>
  <dataValidations count="1">
    <dataValidation type="list" allowBlank="1" showInputMessage="1" showErrorMessage="1" sqref="B8:C25 B5:C6" xr:uid="{88F015CC-A8C7-444B-9614-CBB951902006}">
      <formula1>NODES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39D979-E574-4DAF-AE7B-FDF34F9B51D2}">
          <x14:formula1>
            <xm:f>RLC!$H$20:$H$85</xm:f>
          </x14:formula1>
          <xm:sqref>F11:F32</xm:sqref>
        </x14:dataValidation>
        <x14:dataValidation type="list" allowBlank="1" showInputMessage="1" showErrorMessage="1" xr:uid="{511CABA5-229D-4082-8530-6C2D179C9433}">
          <x14:formula1>
            <xm:f>RLC!$H$2:$H$85</xm:f>
          </x14:formula1>
          <xm:sqref>F2:F10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6408-4728-4305-994F-02DBFF7C39BB}">
  <dimension ref="A1:G3"/>
  <sheetViews>
    <sheetView workbookViewId="0">
      <selection sqref="A1:G1"/>
    </sheetView>
  </sheetViews>
  <sheetFormatPr defaultRowHeight="14.5" x14ac:dyDescent="0.35"/>
  <sheetData>
    <row r="1" spans="1:7" x14ac:dyDescent="0.35">
      <c r="A1" s="2" t="s">
        <v>6</v>
      </c>
      <c r="B1" s="2" t="s">
        <v>7</v>
      </c>
      <c r="C1" s="2" t="s">
        <v>11</v>
      </c>
      <c r="D1" s="2" t="s">
        <v>2</v>
      </c>
      <c r="E1" s="2" t="s">
        <v>12</v>
      </c>
      <c r="F1" s="2" t="s">
        <v>13</v>
      </c>
      <c r="G1" s="2" t="s">
        <v>14</v>
      </c>
    </row>
    <row r="3" spans="1:7" x14ac:dyDescent="0.35">
      <c r="A3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0565-97F6-4D78-B1C6-59EA2C85C432}">
  <dimension ref="F11:S34"/>
  <sheetViews>
    <sheetView workbookViewId="0">
      <selection activeCell="F11" sqref="F11:M28"/>
    </sheetView>
  </sheetViews>
  <sheetFormatPr defaultRowHeight="14.5" x14ac:dyDescent="0.35"/>
  <cols>
    <col min="13" max="13" width="22.54296875" customWidth="1"/>
  </cols>
  <sheetData>
    <row r="11" spans="6:16" x14ac:dyDescent="0.35">
      <c r="F11">
        <v>15</v>
      </c>
      <c r="G11">
        <v>3</v>
      </c>
      <c r="H11" t="s">
        <v>20</v>
      </c>
      <c r="I11">
        <v>18.5</v>
      </c>
      <c r="J11">
        <v>530.5</v>
      </c>
      <c r="K11">
        <v>0</v>
      </c>
      <c r="L11">
        <v>1</v>
      </c>
      <c r="M11" t="s">
        <v>21</v>
      </c>
      <c r="N11" t="s">
        <v>40</v>
      </c>
      <c r="P11" s="37"/>
    </row>
    <row r="12" spans="6:16" x14ac:dyDescent="0.35">
      <c r="F12">
        <v>14</v>
      </c>
      <c r="G12">
        <v>4</v>
      </c>
      <c r="H12" t="s">
        <v>20</v>
      </c>
      <c r="I12">
        <v>18.5</v>
      </c>
      <c r="J12">
        <v>530.5</v>
      </c>
      <c r="K12">
        <v>0</v>
      </c>
      <c r="L12">
        <v>2</v>
      </c>
      <c r="M12" t="s">
        <v>22</v>
      </c>
      <c r="N12" t="s">
        <v>40</v>
      </c>
      <c r="P12" s="37"/>
    </row>
    <row r="13" spans="6:16" x14ac:dyDescent="0.35">
      <c r="F13">
        <v>13</v>
      </c>
      <c r="G13">
        <v>5</v>
      </c>
      <c r="H13" t="s">
        <v>20</v>
      </c>
      <c r="I13">
        <v>18.5</v>
      </c>
      <c r="J13">
        <v>530.5</v>
      </c>
      <c r="K13">
        <v>0</v>
      </c>
      <c r="L13">
        <v>3</v>
      </c>
      <c r="M13" t="s">
        <v>23</v>
      </c>
      <c r="N13" t="s">
        <v>40</v>
      </c>
      <c r="P13" s="37"/>
    </row>
    <row r="14" spans="6:16" x14ac:dyDescent="0.35">
      <c r="F14">
        <v>18</v>
      </c>
      <c r="G14">
        <v>15</v>
      </c>
      <c r="H14" t="s">
        <v>20</v>
      </c>
      <c r="I14">
        <v>0.16300000000000001</v>
      </c>
      <c r="J14">
        <v>9.3000000000000007</v>
      </c>
      <c r="K14">
        <v>0</v>
      </c>
      <c r="L14">
        <v>4</v>
      </c>
      <c r="M14" t="s">
        <v>21</v>
      </c>
      <c r="N14" t="s">
        <v>24</v>
      </c>
    </row>
    <row r="15" spans="6:16" x14ac:dyDescent="0.35">
      <c r="F15">
        <v>17</v>
      </c>
      <c r="G15">
        <v>14</v>
      </c>
      <c r="H15" t="s">
        <v>20</v>
      </c>
      <c r="I15">
        <v>0.16300000000000001</v>
      </c>
      <c r="J15">
        <v>9.3000000000000007</v>
      </c>
      <c r="K15">
        <v>0</v>
      </c>
      <c r="L15">
        <v>5</v>
      </c>
      <c r="M15" t="s">
        <v>22</v>
      </c>
      <c r="N15" t="s">
        <v>24</v>
      </c>
    </row>
    <row r="16" spans="6:16" x14ac:dyDescent="0.35">
      <c r="F16">
        <v>16</v>
      </c>
      <c r="G16">
        <v>13</v>
      </c>
      <c r="H16" t="s">
        <v>20</v>
      </c>
      <c r="I16">
        <v>0.16300000000000001</v>
      </c>
      <c r="J16">
        <v>9.3000000000000007</v>
      </c>
      <c r="K16">
        <v>0</v>
      </c>
      <c r="L16">
        <v>6</v>
      </c>
      <c r="M16" t="s">
        <v>23</v>
      </c>
      <c r="N16" t="s">
        <v>24</v>
      </c>
    </row>
    <row r="17" spans="6:19" x14ac:dyDescent="0.35">
      <c r="F17">
        <v>9</v>
      </c>
      <c r="G17">
        <v>0</v>
      </c>
      <c r="H17" t="s">
        <v>20</v>
      </c>
      <c r="I17">
        <v>400</v>
      </c>
      <c r="J17">
        <v>0</v>
      </c>
      <c r="K17">
        <v>0</v>
      </c>
      <c r="L17">
        <v>7</v>
      </c>
      <c r="M17" t="s">
        <v>21</v>
      </c>
      <c r="N17" t="s">
        <v>41</v>
      </c>
    </row>
    <row r="18" spans="6:19" x14ac:dyDescent="0.35">
      <c r="F18">
        <v>8</v>
      </c>
      <c r="G18">
        <v>0</v>
      </c>
      <c r="H18" t="s">
        <v>20</v>
      </c>
      <c r="I18">
        <v>400</v>
      </c>
      <c r="J18">
        <v>0</v>
      </c>
      <c r="K18">
        <v>0</v>
      </c>
      <c r="L18">
        <v>8</v>
      </c>
      <c r="M18" t="s">
        <v>22</v>
      </c>
      <c r="N18" t="s">
        <v>41</v>
      </c>
    </row>
    <row r="19" spans="6:19" x14ac:dyDescent="0.35">
      <c r="F19">
        <v>7</v>
      </c>
      <c r="G19">
        <v>0</v>
      </c>
      <c r="H19" t="s">
        <v>20</v>
      </c>
      <c r="I19">
        <v>400</v>
      </c>
      <c r="J19">
        <v>0</v>
      </c>
      <c r="K19">
        <v>0</v>
      </c>
      <c r="L19">
        <v>9</v>
      </c>
      <c r="M19" t="s">
        <v>23</v>
      </c>
      <c r="N19" t="s">
        <v>41</v>
      </c>
    </row>
    <row r="20" spans="6:19" x14ac:dyDescent="0.35">
      <c r="F20">
        <v>9</v>
      </c>
      <c r="G20">
        <v>0</v>
      </c>
      <c r="H20" t="s">
        <v>25</v>
      </c>
      <c r="I20">
        <v>4.84E-4</v>
      </c>
      <c r="J20">
        <v>0</v>
      </c>
      <c r="K20" s="38">
        <v>13860</v>
      </c>
      <c r="L20">
        <v>10</v>
      </c>
      <c r="M20" t="s">
        <v>26</v>
      </c>
      <c r="N20">
        <v>600</v>
      </c>
      <c r="O20" t="s">
        <v>27</v>
      </c>
      <c r="P20" t="s">
        <v>28</v>
      </c>
      <c r="Q20">
        <v>22</v>
      </c>
      <c r="R20" t="s">
        <v>29</v>
      </c>
      <c r="S20" t="s">
        <v>30</v>
      </c>
    </row>
    <row r="21" spans="6:19" x14ac:dyDescent="0.35">
      <c r="F21">
        <v>3</v>
      </c>
      <c r="G21">
        <v>0</v>
      </c>
      <c r="H21" t="s">
        <v>25</v>
      </c>
      <c r="I21">
        <v>0.25</v>
      </c>
      <c r="J21">
        <v>132.6</v>
      </c>
      <c r="K21" s="38">
        <v>288700</v>
      </c>
      <c r="L21">
        <v>11</v>
      </c>
      <c r="M21" t="s">
        <v>31</v>
      </c>
      <c r="N21">
        <v>600</v>
      </c>
      <c r="O21" t="s">
        <v>27</v>
      </c>
      <c r="P21" t="s">
        <v>28</v>
      </c>
      <c r="Q21">
        <v>22</v>
      </c>
      <c r="R21" t="s">
        <v>29</v>
      </c>
      <c r="S21" t="s">
        <v>30</v>
      </c>
    </row>
    <row r="22" spans="6:19" x14ac:dyDescent="0.35">
      <c r="F22">
        <v>43</v>
      </c>
      <c r="G22">
        <v>0</v>
      </c>
      <c r="H22" t="s">
        <v>32</v>
      </c>
      <c r="I22">
        <v>1000</v>
      </c>
      <c r="J22">
        <v>0</v>
      </c>
      <c r="K22">
        <v>0</v>
      </c>
      <c r="L22">
        <v>12</v>
      </c>
      <c r="M22" t="s">
        <v>33</v>
      </c>
      <c r="N22">
        <v>600</v>
      </c>
      <c r="O22" t="s">
        <v>27</v>
      </c>
      <c r="P22" t="s">
        <v>28</v>
      </c>
      <c r="Q22">
        <v>22</v>
      </c>
      <c r="R22" t="s">
        <v>29</v>
      </c>
      <c r="S22" t="s">
        <v>30</v>
      </c>
    </row>
    <row r="23" spans="6:19" x14ac:dyDescent="0.35">
      <c r="F23">
        <v>8</v>
      </c>
      <c r="G23">
        <v>0</v>
      </c>
      <c r="H23" t="s">
        <v>25</v>
      </c>
      <c r="I23">
        <v>4.84E-4</v>
      </c>
      <c r="J23">
        <v>0</v>
      </c>
      <c r="K23" s="38">
        <v>13860</v>
      </c>
      <c r="L23">
        <v>13</v>
      </c>
      <c r="M23" t="s">
        <v>34</v>
      </c>
      <c r="N23">
        <v>600</v>
      </c>
      <c r="O23" t="s">
        <v>27</v>
      </c>
      <c r="P23" t="s">
        <v>28</v>
      </c>
      <c r="Q23">
        <v>22</v>
      </c>
      <c r="R23" t="s">
        <v>29</v>
      </c>
      <c r="S23" t="s">
        <v>30</v>
      </c>
    </row>
    <row r="24" spans="6:19" x14ac:dyDescent="0.35">
      <c r="F24">
        <v>4</v>
      </c>
      <c r="G24">
        <v>0</v>
      </c>
      <c r="H24" t="s">
        <v>25</v>
      </c>
      <c r="I24" s="38">
        <v>0.25</v>
      </c>
      <c r="J24">
        <v>132.6</v>
      </c>
      <c r="K24" s="38">
        <v>288700</v>
      </c>
      <c r="L24">
        <v>14</v>
      </c>
      <c r="M24" t="s">
        <v>35</v>
      </c>
      <c r="N24">
        <v>600</v>
      </c>
      <c r="O24" t="s">
        <v>27</v>
      </c>
      <c r="P24" t="s">
        <v>28</v>
      </c>
      <c r="Q24">
        <v>22</v>
      </c>
      <c r="R24" t="s">
        <v>29</v>
      </c>
      <c r="S24" t="s">
        <v>30</v>
      </c>
    </row>
    <row r="25" spans="6:19" x14ac:dyDescent="0.35">
      <c r="F25">
        <v>44</v>
      </c>
      <c r="G25">
        <v>0</v>
      </c>
      <c r="H25" t="s">
        <v>32</v>
      </c>
      <c r="I25" s="38">
        <v>1000</v>
      </c>
      <c r="J25">
        <v>0</v>
      </c>
      <c r="K25">
        <v>0</v>
      </c>
      <c r="L25">
        <v>15</v>
      </c>
      <c r="M25" t="s">
        <v>36</v>
      </c>
      <c r="N25">
        <v>600</v>
      </c>
      <c r="O25" t="s">
        <v>27</v>
      </c>
      <c r="P25" t="s">
        <v>28</v>
      </c>
      <c r="Q25">
        <v>22</v>
      </c>
      <c r="R25" t="s">
        <v>29</v>
      </c>
      <c r="S25" t="s">
        <v>30</v>
      </c>
    </row>
    <row r="26" spans="6:19" x14ac:dyDescent="0.35">
      <c r="F26">
        <v>7</v>
      </c>
      <c r="G26">
        <v>0</v>
      </c>
      <c r="H26" t="s">
        <v>25</v>
      </c>
      <c r="I26" s="38">
        <v>4.84E-4</v>
      </c>
      <c r="J26">
        <v>0</v>
      </c>
      <c r="K26" s="38">
        <v>13860</v>
      </c>
      <c r="L26">
        <v>16</v>
      </c>
      <c r="M26" t="s">
        <v>37</v>
      </c>
      <c r="N26">
        <v>600</v>
      </c>
      <c r="O26" t="s">
        <v>27</v>
      </c>
      <c r="P26" t="s">
        <v>28</v>
      </c>
      <c r="Q26">
        <v>22</v>
      </c>
      <c r="R26" t="s">
        <v>29</v>
      </c>
      <c r="S26" t="s">
        <v>30</v>
      </c>
    </row>
    <row r="27" spans="6:19" x14ac:dyDescent="0.35">
      <c r="F27">
        <v>5</v>
      </c>
      <c r="G27">
        <v>0</v>
      </c>
      <c r="H27" t="s">
        <v>25</v>
      </c>
      <c r="I27">
        <v>0.25</v>
      </c>
      <c r="J27">
        <v>132.6</v>
      </c>
      <c r="K27" s="38">
        <v>288700</v>
      </c>
      <c r="L27">
        <v>17</v>
      </c>
      <c r="M27" t="s">
        <v>38</v>
      </c>
      <c r="N27">
        <v>600</v>
      </c>
      <c r="O27" t="s">
        <v>27</v>
      </c>
      <c r="P27" t="s">
        <v>28</v>
      </c>
      <c r="Q27">
        <v>22</v>
      </c>
      <c r="R27" t="s">
        <v>29</v>
      </c>
      <c r="S27" t="s">
        <v>30</v>
      </c>
    </row>
    <row r="28" spans="6:19" x14ac:dyDescent="0.35">
      <c r="F28">
        <v>45</v>
      </c>
      <c r="G28">
        <v>0</v>
      </c>
      <c r="H28" t="s">
        <v>32</v>
      </c>
      <c r="I28">
        <v>1000</v>
      </c>
      <c r="J28">
        <v>0</v>
      </c>
      <c r="K28" s="38">
        <v>0</v>
      </c>
      <c r="L28">
        <v>18</v>
      </c>
      <c r="M28" t="s">
        <v>39</v>
      </c>
      <c r="N28">
        <v>600</v>
      </c>
      <c r="O28" t="s">
        <v>27</v>
      </c>
      <c r="P28" t="s">
        <v>28</v>
      </c>
      <c r="Q28">
        <v>22</v>
      </c>
      <c r="R28" t="s">
        <v>29</v>
      </c>
      <c r="S28" t="s">
        <v>30</v>
      </c>
    </row>
    <row r="30" spans="6:19" x14ac:dyDescent="0.35">
      <c r="K30" s="38"/>
    </row>
    <row r="31" spans="6:19" x14ac:dyDescent="0.35">
      <c r="K31" s="38"/>
    </row>
    <row r="33" spans="11:11" x14ac:dyDescent="0.35">
      <c r="K33" s="38"/>
    </row>
    <row r="34" spans="11:11" x14ac:dyDescent="0.35">
      <c r="K34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RLC</vt:lpstr>
      <vt:lpstr>SRC</vt:lpstr>
      <vt:lpstr>OUT</vt:lpstr>
      <vt:lpstr>SW</vt:lpstr>
      <vt:lpstr>Sheet2</vt:lpstr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2023-12-29T17:34:58Z</dcterms:modified>
</cp:coreProperties>
</file>